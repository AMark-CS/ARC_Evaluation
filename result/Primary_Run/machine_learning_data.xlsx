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50" activeTab="2"/>
  </bookViews>
  <sheets>
    <sheet name="Prompt_long (3)" sheetId="8" r:id="rId1"/>
    <sheet name="Prompt_long (2)" sheetId="6" r:id="rId2"/>
    <sheet name="Sheet1" sheetId="1" r:id="rId3"/>
    <sheet name="Column1" sheetId="3" r:id="rId4"/>
    <sheet name="Prompt_long" sheetId="4" r:id="rId5"/>
  </sheets>
  <definedNames>
    <definedName name="ExternalData_1" localSheetId="4" hidden="1">Prompt_long!$A$1:$M$9</definedName>
    <definedName name="ExternalData_1" localSheetId="1" hidden="1">'Prompt_long (2)'!$A$1:$C$25</definedName>
    <definedName name="ExternalData_2" localSheetId="3" hidden="1">Column1!$A$1:$F$4</definedName>
    <definedName name="ExternalData_2" localSheetId="0" hidden="1">'Prompt_long (3)'!$A$1:$C$25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Prompt_long" description="与工作簿中“Prompt_long”查询的连接。" type="5" background="1" refreshedVersion="2" saveData="1">
    <dbPr connection="Provider=Microsoft.Mashup.OleDb.1;Data Source=$Workbook$;Location=Prompt_long;Extended Properties=&quot;&quot;" command="SELECT * FROM [Prompt_long]" commandType="2"/>
  </connection>
  <connection id="2" name="查询 - 参数1" description="与工作簿中“参数1”查询的连接。" type="5" background="1" refreshedVersion="2" saveData="1">
    <dbPr connection="Provider=Microsoft.Mashup.OleDb.1;Data Source=$Workbook$;Location=参数1;Extended Properties=&quot;&quot;" command="SELECT * FROM [参数1]" commandType="2"/>
  </connection>
  <connection id="3" name="查询 - 示例文件" description="与工作簿中“示例文件”查询的连接。" type="5" background="1" refreshedVersion="2" saveData="1">
    <dbPr connection="Provider=Microsoft.Mashup.OleDb.1;Data Source=$Workbook$;Location=示例文件;Extended Properties=&quot;&quot;" command="SELECT * FROM [示例文件]" commandType="2"/>
  </connection>
  <connection id="4" name="查询 - 转换文件" description="与工作簿中“转换文件”查询的连接。" type="5" background="1" refreshedVersion="2" saveData="1">
    <dbPr connection="Provider=Microsoft.Mashup.OleDb.1;Data Source=$Workbook$;Location=转换文件;Extended Properties=&quot;&quot;" command="SELECT * FROM [转换文件]" commandType="2"/>
  </connection>
  <connection id="5" name="查询 - 转换示例文件" description="与工作簿中“转换示例文件”查询的连接。" type="5" background="1" refreshedVersion="2" saveData="1">
    <dbPr connection="Provider=Microsoft.Mashup.OleDb.1;Data Source=$Workbook$;Location=转换示例文件;Extended Properties=&quot;&quot;" command="SELECT * FROM [转换示例文件]" commandType="2"/>
  </connection>
</connections>
</file>

<file path=xl/sharedStrings.xml><?xml version="1.0" encoding="utf-8"?>
<sst xmlns="http://schemas.openxmlformats.org/spreadsheetml/2006/main" count="352" uniqueCount="76">
  <si>
    <t>Source.Name</t>
  </si>
  <si>
    <t>Name</t>
  </si>
  <si>
    <t>Value</t>
  </si>
  <si>
    <t>throughput_results.json</t>
  </si>
  <si>
    <t>name</t>
  </si>
  <si>
    <t>Qwen2.5-0.5B_flash</t>
  </si>
  <si>
    <t>prefill_throughput</t>
  </si>
  <si>
    <t>decode_throughput</t>
  </si>
  <si>
    <t>Qwen2.5-0.5B_origin</t>
  </si>
  <si>
    <t>Qwen2.5-0.5B-AWQ_flash</t>
  </si>
  <si>
    <t>Qwen2.5-0.5B-AWQ_origin</t>
  </si>
  <si>
    <t>Qwen2.5-0.5B-In4_flash</t>
  </si>
  <si>
    <t>Qwen2.5-0.5B-In4_origin</t>
  </si>
  <si>
    <t>Qwen2.5-0.5B-In8_flash</t>
  </si>
  <si>
    <t>Qwen2.5-0.5B-In8_origin</t>
  </si>
  <si>
    <t>Column1</t>
  </si>
  <si>
    <t>Column2</t>
  </si>
  <si>
    <t>Column3</t>
  </si>
  <si>
    <t>memory_results.json</t>
  </si>
  <si>
    <t>max_rss</t>
  </si>
  <si>
    <t>max_vms</t>
  </si>
  <si>
    <t>results</t>
  </si>
  <si>
    <t>arc_challenge</t>
  </si>
  <si>
    <t>hellaswag</t>
  </si>
  <si>
    <t>piqa</t>
  </si>
  <si>
    <t>acc,none</t>
  </si>
  <si>
    <t>acc_stderr,none</t>
  </si>
  <si>
    <t>acc_norm,none</t>
  </si>
  <si>
    <t>acc_norm_stderr,none</t>
  </si>
  <si>
    <t>offcial</t>
  </si>
  <si>
    <t>Prompt_long</t>
  </si>
  <si>
    <t>Qwen2.5-0.5B</t>
  </si>
  <si>
    <t>flash</t>
  </si>
  <si>
    <t>origin</t>
  </si>
  <si>
    <t>Qwen2.5-0.5B-Instruct-AWQ</t>
  </si>
  <si>
    <t>Qwen2.5-0.5B-Instruct-GPTQ-Int4</t>
  </si>
  <si>
    <t>Qwen2.5-0.5B-Instruct-GPTQ-Int8</t>
  </si>
  <si>
    <t>flash VS origin</t>
  </si>
  <si>
    <t>memory_results</t>
  </si>
  <si>
    <t>throughput_result</t>
  </si>
  <si>
    <t>Qwen2.5-0.5B-Instruct_flash</t>
  </si>
  <si>
    <t>Qwen2.5-0.5B-Instruct_origin</t>
  </si>
  <si>
    <t>内存使用减少量表(Flash)</t>
  </si>
  <si>
    <t>吞吐量提升表(Flash)</t>
  </si>
  <si>
    <t>Qwen2.5-0.5B-Instruct</t>
  </si>
  <si>
    <t>On Memory(Q+I)</t>
  </si>
  <si>
    <t>On Throughput(Q+I)</t>
  </si>
  <si>
    <t>Quantification on Flash</t>
  </si>
  <si>
    <t>AWQ</t>
  </si>
  <si>
    <t>GPTQ-Int4</t>
  </si>
  <si>
    <t>GPTQ-Int8</t>
  </si>
  <si>
    <t>Quantification on Origin</t>
  </si>
  <si>
    <t>Flash and Quantification on Origin</t>
  </si>
  <si>
    <t>On Memory(Q)</t>
  </si>
  <si>
    <t>On Throughput(Q)</t>
  </si>
  <si>
    <t>Quantification on Flash VS Instruct</t>
  </si>
  <si>
    <t>Quantification on Instruct</t>
  </si>
  <si>
    <t>Flash and Quantification on Instruct</t>
  </si>
  <si>
    <t>alias</t>
  </si>
  <si>
    <t>Prompt_Short</t>
  </si>
  <si>
    <t>acc,none.1</t>
  </si>
  <si>
    <t>acc_stderr,none.1</t>
  </si>
  <si>
    <t>acc_norm,none.1</t>
  </si>
  <si>
    <t>acc_norm_stderr,none.1</t>
  </si>
  <si>
    <t>acc,none.2</t>
  </si>
  <si>
    <t>acc_stderr,none.2</t>
  </si>
  <si>
    <t>acc_norm,none.2</t>
  </si>
  <si>
    <t>acc_norm_stderr,none.2</t>
  </si>
  <si>
    <t>results_Prompt_long_Qwen2.5-0.5B_flash</t>
  </si>
  <si>
    <t>results_Prompt_long_Qwen2.5-0.5B_origin</t>
  </si>
  <si>
    <t>results_Prpompt_long_Qwen2.5-0.5B-Instruct-AWQ_flash</t>
  </si>
  <si>
    <t>results_Prpompt_long_Qwen2.5-0.5B-Instruct-AWQ_origin</t>
  </si>
  <si>
    <t>results_Prpompt_long_Qwen2.5-0.5B-Instruct-GPTQ-Int4_flash</t>
  </si>
  <si>
    <t>results_Prompt_long_Qwen2.5-0.5B-Instruct-GPTQ-Int4_origin</t>
  </si>
  <si>
    <t>results_Prompt_long_Qwen2.5-0.5B-Instruct-GPTQ-Int8_flash</t>
  </si>
  <si>
    <t>results_Prompt_long_Qwen2.5-0.5B-Instruct-GPTQ-Int8_origin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</si>
</sst>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7"/>
      </left>
      <right/>
      <top style="thin">
        <color theme="7"/>
      </top>
      <bottom style="thin">
        <color theme="7" tint="0.399975585192419"/>
      </bottom>
      <diagonal/>
    </border>
    <border>
      <left style="thin">
        <color theme="7"/>
      </left>
      <right/>
      <top style="thin">
        <color theme="7" tint="0.399975585192419"/>
      </top>
      <bottom style="thin">
        <color theme="7" tint="0.399975585192419"/>
      </bottom>
      <diagonal/>
    </border>
    <border>
      <left/>
      <right/>
      <top style="thin">
        <color theme="7" tint="0.399975585192419"/>
      </top>
      <bottom style="thin">
        <color theme="7" tint="0.399975585192419"/>
      </bottom>
      <diagonal/>
    </border>
    <border>
      <left/>
      <right style="thin">
        <color theme="7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theme="7"/>
      </left>
      <right/>
      <top style="thin">
        <color theme="7" tint="0.399975585192419"/>
      </top>
      <bottom style="thin">
        <color theme="7"/>
      </bottom>
      <diagonal/>
    </border>
    <border>
      <left/>
      <right/>
      <top style="thin">
        <color theme="7" tint="0.399975585192419"/>
      </top>
      <bottom style="thin">
        <color theme="7"/>
      </bottom>
      <diagonal/>
    </border>
    <border>
      <left/>
      <right style="thin">
        <color theme="7"/>
      </right>
      <top style="thin">
        <color theme="7" tint="0.399975585192419"/>
      </top>
      <bottom style="thin">
        <color theme="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8"/>
      </left>
      <right style="thin">
        <color theme="0"/>
      </right>
      <top style="thin">
        <color theme="8"/>
      </top>
      <bottom style="thin">
        <color theme="0"/>
      </bottom>
      <diagonal/>
    </border>
    <border>
      <left style="thin">
        <color theme="8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8"/>
      </right>
      <top style="thin">
        <color theme="0"/>
      </top>
      <bottom style="thin">
        <color theme="0"/>
      </bottom>
      <diagonal/>
    </border>
    <border>
      <left style="thin">
        <color theme="8"/>
      </left>
      <right style="thin">
        <color theme="0"/>
      </right>
      <top style="thin">
        <color theme="0"/>
      </top>
      <bottom style="thin">
        <color theme="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/>
      </bottom>
      <diagonal/>
    </border>
    <border>
      <left style="thin">
        <color theme="0"/>
      </left>
      <right style="thin">
        <color theme="8"/>
      </right>
      <top style="thin">
        <color theme="0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0"/>
      </bottom>
      <diagonal/>
    </border>
    <border>
      <left/>
      <right/>
      <top style="thin">
        <color theme="8"/>
      </top>
      <bottom style="thin">
        <color theme="0"/>
      </bottom>
      <diagonal/>
    </border>
    <border>
      <left/>
      <right style="thin">
        <color theme="8"/>
      </right>
      <top style="thin">
        <color theme="8"/>
      </top>
      <bottom style="thin">
        <color theme="0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3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10" fillId="0" borderId="3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33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2" fillId="2" borderId="33" applyNumberFormat="0" applyAlignment="0" applyProtection="0">
      <alignment vertical="center"/>
    </xf>
    <xf numFmtId="0" fontId="13" fillId="13" borderId="34" applyNumberFormat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17" applyAlignment="1">
      <alignment horizontal="center" vertical="center"/>
    </xf>
    <xf numFmtId="0" fontId="1" fillId="2" borderId="1" xfId="17">
      <alignment vertical="center"/>
    </xf>
    <xf numFmtId="10" fontId="1" fillId="2" borderId="1" xfId="17" applyNumberFormat="1">
      <alignment vertical="center"/>
    </xf>
    <xf numFmtId="0" fontId="2" fillId="3" borderId="2" xfId="17" applyFont="1" applyFill="1" applyBorder="1" applyAlignment="1">
      <alignment horizontal="center" vertical="center"/>
    </xf>
    <xf numFmtId="0" fontId="0" fillId="4" borderId="3" xfId="17" applyFont="1" applyFill="1" applyBorder="1">
      <alignment vertical="center"/>
    </xf>
    <xf numFmtId="0" fontId="0" fillId="4" borderId="4" xfId="17" applyFont="1" applyFill="1" applyBorder="1">
      <alignment vertical="center"/>
    </xf>
    <xf numFmtId="0" fontId="0" fillId="4" borderId="5" xfId="17" applyFont="1" applyFill="1" applyBorder="1">
      <alignment vertical="center"/>
    </xf>
    <xf numFmtId="0" fontId="0" fillId="4" borderId="3" xfId="17" applyNumberFormat="1" applyFont="1" applyFill="1" applyBorder="1">
      <alignment vertical="center"/>
    </xf>
    <xf numFmtId="0" fontId="0" fillId="4" borderId="4" xfId="17" applyNumberFormat="1" applyFont="1" applyFill="1" applyBorder="1">
      <alignment vertical="center"/>
    </xf>
    <xf numFmtId="0" fontId="0" fillId="4" borderId="5" xfId="17" applyNumberFormat="1" applyFont="1" applyFill="1" applyBorder="1">
      <alignment vertical="center"/>
    </xf>
    <xf numFmtId="0" fontId="0" fillId="0" borderId="3" xfId="17" applyFont="1" applyFill="1" applyBorder="1">
      <alignment vertical="center"/>
    </xf>
    <xf numFmtId="176" fontId="0" fillId="0" borderId="4" xfId="17" applyNumberFormat="1" applyFont="1" applyFill="1" applyBorder="1">
      <alignment vertical="center"/>
    </xf>
    <xf numFmtId="176" fontId="0" fillId="0" borderId="5" xfId="17" applyNumberFormat="1" applyFont="1" applyFill="1" applyBorder="1">
      <alignment vertical="center"/>
    </xf>
    <xf numFmtId="176" fontId="0" fillId="4" borderId="4" xfId="17" applyNumberFormat="1" applyFont="1" applyFill="1" applyBorder="1">
      <alignment vertical="center"/>
    </xf>
    <xf numFmtId="176" fontId="0" fillId="4" borderId="5" xfId="17" applyNumberFormat="1" applyFont="1" applyFill="1" applyBorder="1">
      <alignment vertical="center"/>
    </xf>
    <xf numFmtId="0" fontId="0" fillId="0" borderId="3" xfId="0" applyFont="1" applyFill="1" applyBorder="1">
      <alignment vertical="center"/>
    </xf>
    <xf numFmtId="176" fontId="0" fillId="0" borderId="4" xfId="0" applyNumberFormat="1" applyFont="1" applyFill="1" applyBorder="1">
      <alignment vertical="center"/>
    </xf>
    <xf numFmtId="176" fontId="0" fillId="0" borderId="5" xfId="0" applyNumberFormat="1" applyFont="1" applyFill="1" applyBorder="1">
      <alignment vertical="center"/>
    </xf>
    <xf numFmtId="176" fontId="0" fillId="0" borderId="4" xfId="0" applyNumberFormat="1" applyFont="1" applyFill="1" applyBorder="1" applyAlignment="1">
      <alignment horizontal="right" vertical="center"/>
    </xf>
    <xf numFmtId="176" fontId="0" fillId="0" borderId="5" xfId="0" applyNumberFormat="1" applyFont="1" applyFill="1" applyBorder="1" applyAlignment="1">
      <alignment horizontal="right" vertical="center"/>
    </xf>
    <xf numFmtId="0" fontId="0" fillId="4" borderId="6" xfId="0" applyFont="1" applyFill="1" applyBorder="1">
      <alignment vertical="center"/>
    </xf>
    <xf numFmtId="176" fontId="0" fillId="4" borderId="7" xfId="0" applyNumberFormat="1" applyFont="1" applyFill="1" applyBorder="1">
      <alignment vertical="center"/>
    </xf>
    <xf numFmtId="176" fontId="0" fillId="4" borderId="8" xfId="0" applyNumberFormat="1" applyFont="1" applyFill="1" applyBorder="1">
      <alignment vertical="center"/>
    </xf>
    <xf numFmtId="176" fontId="0" fillId="4" borderId="7" xfId="0" applyNumberFormat="1" applyFont="1" applyFill="1" applyBorder="1" applyAlignment="1">
      <alignment horizontal="right" vertical="center"/>
    </xf>
    <xf numFmtId="176" fontId="0" fillId="4" borderId="8" xfId="0" applyNumberFormat="1" applyFont="1" applyFill="1" applyBorder="1" applyAlignment="1">
      <alignment horizontal="right" vertical="center"/>
    </xf>
    <xf numFmtId="0" fontId="2" fillId="5" borderId="9" xfId="0" applyFont="1" applyFill="1" applyBorder="1" applyAlignment="1">
      <alignment horizontal="center" vertical="center"/>
    </xf>
    <xf numFmtId="0" fontId="0" fillId="6" borderId="10" xfId="17" applyFont="1" applyFill="1" applyBorder="1">
      <alignment vertical="center"/>
    </xf>
    <xf numFmtId="0" fontId="0" fillId="6" borderId="11" xfId="17" applyFont="1" applyFill="1" applyBorder="1">
      <alignment vertical="center"/>
    </xf>
    <xf numFmtId="0" fontId="0" fillId="6" borderId="12" xfId="17" applyFont="1" applyFill="1" applyBorder="1">
      <alignment vertical="center"/>
    </xf>
    <xf numFmtId="0" fontId="0" fillId="7" borderId="13" xfId="17" applyFont="1" applyFill="1" applyBorder="1" applyAlignment="1">
      <alignment vertical="center"/>
    </xf>
    <xf numFmtId="10" fontId="0" fillId="7" borderId="14" xfId="17" applyNumberFormat="1" applyFont="1" applyFill="1" applyBorder="1">
      <alignment vertical="center"/>
    </xf>
    <xf numFmtId="10" fontId="0" fillId="7" borderId="15" xfId="17" applyNumberFormat="1" applyFont="1" applyFill="1" applyBorder="1">
      <alignment vertical="center"/>
    </xf>
    <xf numFmtId="0" fontId="0" fillId="6" borderId="13" xfId="17" applyFont="1" applyFill="1" applyBorder="1" applyAlignment="1">
      <alignment vertical="center"/>
    </xf>
    <xf numFmtId="10" fontId="0" fillId="6" borderId="14" xfId="17" applyNumberFormat="1" applyFont="1" applyFill="1" applyBorder="1">
      <alignment vertical="center"/>
    </xf>
    <xf numFmtId="10" fontId="0" fillId="6" borderId="15" xfId="17" applyNumberFormat="1" applyFont="1" applyFill="1" applyBorder="1">
      <alignment vertical="center"/>
    </xf>
    <xf numFmtId="0" fontId="0" fillId="7" borderId="16" xfId="17" applyFont="1" applyFill="1" applyBorder="1" applyAlignment="1">
      <alignment vertical="center"/>
    </xf>
    <xf numFmtId="10" fontId="0" fillId="7" borderId="17" xfId="17" applyNumberFormat="1" applyFont="1" applyFill="1" applyBorder="1">
      <alignment vertical="center"/>
    </xf>
    <xf numFmtId="10" fontId="0" fillId="7" borderId="18" xfId="17" applyNumberFormat="1" applyFont="1" applyFill="1" applyBorder="1">
      <alignment vertical="center"/>
    </xf>
    <xf numFmtId="10" fontId="2" fillId="8" borderId="19" xfId="0" applyNumberFormat="1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2" fillId="8" borderId="20" xfId="17" applyFont="1" applyFill="1" applyBorder="1">
      <alignment vertical="center"/>
    </xf>
    <xf numFmtId="0" fontId="0" fillId="9" borderId="14" xfId="17" applyFont="1" applyFill="1" applyBorder="1">
      <alignment vertical="center"/>
    </xf>
    <xf numFmtId="0" fontId="0" fillId="9" borderId="21" xfId="17" applyFont="1" applyFill="1" applyBorder="1">
      <alignment vertical="center"/>
    </xf>
    <xf numFmtId="10" fontId="2" fillId="8" borderId="20" xfId="0" applyNumberFormat="1" applyFont="1" applyFill="1" applyBorder="1" applyAlignment="1">
      <alignment horizontal="center" vertical="center"/>
    </xf>
    <xf numFmtId="10" fontId="2" fillId="8" borderId="20" xfId="0" applyNumberFormat="1" applyFont="1" applyFill="1" applyBorder="1">
      <alignment vertical="center"/>
    </xf>
    <xf numFmtId="10" fontId="0" fillId="9" borderId="14" xfId="0" applyNumberFormat="1" applyFont="1" applyFill="1" applyBorder="1">
      <alignment vertical="center"/>
    </xf>
    <xf numFmtId="10" fontId="0" fillId="9" borderId="21" xfId="0" applyNumberFormat="1" applyFont="1" applyFill="1" applyBorder="1">
      <alignment vertical="center"/>
    </xf>
    <xf numFmtId="10" fontId="0" fillId="0" borderId="14" xfId="0" applyNumberFormat="1" applyFont="1" applyFill="1" applyBorder="1">
      <alignment vertical="center"/>
    </xf>
    <xf numFmtId="10" fontId="0" fillId="0" borderId="21" xfId="0" applyNumberFormat="1" applyFont="1" applyFill="1" applyBorder="1">
      <alignment vertical="center"/>
    </xf>
    <xf numFmtId="10" fontId="2" fillId="8" borderId="22" xfId="0" applyNumberFormat="1" applyFont="1" applyFill="1" applyBorder="1">
      <alignment vertical="center"/>
    </xf>
    <xf numFmtId="10" fontId="0" fillId="9" borderId="23" xfId="0" applyNumberFormat="1" applyFont="1" applyFill="1" applyBorder="1">
      <alignment vertical="center"/>
    </xf>
    <xf numFmtId="10" fontId="0" fillId="9" borderId="24" xfId="0" applyNumberFormat="1" applyFont="1" applyFill="1" applyBorder="1">
      <alignment vertical="center"/>
    </xf>
    <xf numFmtId="10" fontId="0" fillId="0" borderId="23" xfId="0" applyNumberFormat="1" applyFont="1" applyFill="1" applyBorder="1">
      <alignment vertical="center"/>
    </xf>
    <xf numFmtId="10" fontId="0" fillId="0" borderId="24" xfId="0" applyNumberFormat="1" applyFont="1" applyFill="1" applyBorder="1">
      <alignment vertical="center"/>
    </xf>
    <xf numFmtId="10" fontId="2" fillId="8" borderId="25" xfId="0" applyNumberFormat="1" applyFont="1" applyFill="1" applyBorder="1" applyAlignment="1">
      <alignment horizontal="center" vertical="center"/>
    </xf>
    <xf numFmtId="10" fontId="2" fillId="8" borderId="26" xfId="0" applyNumberFormat="1" applyFont="1" applyFill="1" applyBorder="1" applyAlignment="1">
      <alignment horizontal="center" vertical="center"/>
    </xf>
    <xf numFmtId="10" fontId="2" fillId="8" borderId="27" xfId="0" applyNumberFormat="1" applyFont="1" applyFill="1" applyBorder="1" applyAlignment="1">
      <alignment horizontal="center" vertical="center"/>
    </xf>
    <xf numFmtId="0" fontId="0" fillId="10" borderId="28" xfId="0" applyFont="1" applyFill="1" applyBorder="1">
      <alignment vertical="center"/>
    </xf>
    <xf numFmtId="0" fontId="0" fillId="0" borderId="28" xfId="0" applyFont="1" applyBorder="1">
      <alignment vertical="center"/>
    </xf>
    <xf numFmtId="0" fontId="0" fillId="10" borderId="29" xfId="0" applyFont="1" applyFill="1" applyBorder="1">
      <alignment vertical="center"/>
    </xf>
    <xf numFmtId="0" fontId="0" fillId="0" borderId="29" xfId="0" applyFont="1" applyBorder="1">
      <alignment vertical="center"/>
    </xf>
    <xf numFmtId="0" fontId="0" fillId="10" borderId="28" xfId="0" applyNumberFormat="1" applyFont="1" applyFill="1" applyBorder="1">
      <alignment vertical="center"/>
    </xf>
    <xf numFmtId="0" fontId="0" fillId="0" borderId="28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2" connectionId="1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Source.Name" tableColumnId="1"/>
      <queryTableField id="2" name="Nam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7" name="Prompt_long_2" displayName="Prompt_long_2" ref="A1:C25" tableType="queryTable" totalsRowShown="0">
  <autoFilter xmlns:etc="http://www.wps.cn/officeDocument/2017/etCustomData" ref="A1:C25" etc:filterBottomFollowUsedRange="0"/>
  <tableColumns count="3">
    <tableColumn id="1" name="Source.Name" uniqueName="1" queryTableFieldId="1" dataDxfId="0"/>
    <tableColumn id="2" name="Name" uniqueName="2" queryTableFieldId="2" dataDxfId="1"/>
    <tableColumn id="3" name="Value" uniqueName="3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Prompt_long_1" displayName="Prompt_long_1" ref="A1:C25" totalsRowShown="0">
  <autoFilter xmlns:etc="http://www.wps.cn/officeDocument/2017/etCustomData" ref="A1:C25" etc:filterBottomFollowUsedRange="0"/>
  <tableColumns count="3">
    <tableColumn id="1" name="Column1"/>
    <tableColumn id="2" name="Column2"/>
    <tableColumn id="3" name="Column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Column1" displayName="Column1" ref="A1:F4" totalsRowShown="0">
  <autoFilter xmlns:etc="http://www.wps.cn/officeDocument/2017/etCustomData" ref="A1:F4" etc:filterBottomFollowUsedRange="0"/>
  <tableColumns count="6">
    <tableColumn id="1" name="Column1"/>
    <tableColumn id="2" name="alias"/>
    <tableColumn id="3" name="acc,none"/>
    <tableColumn id="4" name="acc_stderr,none"/>
    <tableColumn id="5" name="acc_norm,none"/>
    <tableColumn id="6" name="acc_norm_stderr,non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" name="Prompt_long" displayName="Prompt_long" ref="A1:M9" totalsRowShown="0">
  <autoFilter xmlns:etc="http://www.wps.cn/officeDocument/2017/etCustomData" ref="A1:M9" etc:filterBottomFollowUsedRange="0"/>
  <tableColumns count="13">
    <tableColumn id="1" name="Name" dataDxfId="2"/>
    <tableColumn id="2" name="acc,none"/>
    <tableColumn id="3" name="acc_stderr,none"/>
    <tableColumn id="4" name="acc_norm,none"/>
    <tableColumn id="5" name="acc_norm_stderr,none"/>
    <tableColumn id="6" name="acc,none.1"/>
    <tableColumn id="7" name="acc_stderr,none.1"/>
    <tableColumn id="8" name="acc_norm,none.1"/>
    <tableColumn id="9" name="acc_norm_stderr,none.1"/>
    <tableColumn id="10" name="acc,none.2"/>
    <tableColumn id="11" name="acc_stderr,none.2"/>
    <tableColumn id="12" name="acc_norm,none.2"/>
    <tableColumn id="13" name="acc_norm_stderr,none.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zoomScale="115" zoomScaleNormal="115" topLeftCell="C1" workbookViewId="0">
      <selection activeCell="E2" sqref="E2:G10"/>
    </sheetView>
  </sheetViews>
  <sheetFormatPr defaultColWidth="9" defaultRowHeight="14"/>
  <cols>
    <col min="1" max="1" width="21.375" customWidth="1"/>
    <col min="2" max="2" width="18.625" customWidth="1"/>
    <col min="3" max="3" width="25.25" customWidth="1"/>
    <col min="5" max="5" width="35.125" customWidth="1"/>
    <col min="6" max="6" width="21.875" customWidth="1"/>
    <col min="7" max="7" width="21.5" customWidth="1"/>
  </cols>
  <sheetData>
    <row r="1" spans="1:3">
      <c r="A1" t="s">
        <v>0</v>
      </c>
      <c r="B1" t="s">
        <v>1</v>
      </c>
      <c r="C1" t="s">
        <v>2</v>
      </c>
    </row>
    <row r="2" spans="1:28">
      <c r="A2" s="1" t="s">
        <v>3</v>
      </c>
      <c r="B2" s="1" t="s">
        <v>4</v>
      </c>
      <c r="C2" t="s">
        <v>5</v>
      </c>
      <c r="E2" s="63" t="s">
        <v>4</v>
      </c>
      <c r="F2" s="64" t="s">
        <v>6</v>
      </c>
      <c r="G2" s="63" t="s">
        <v>7</v>
      </c>
      <c r="H2" s="64" t="s">
        <v>4</v>
      </c>
      <c r="I2" s="63" t="s">
        <v>6</v>
      </c>
      <c r="J2" s="64" t="s">
        <v>7</v>
      </c>
      <c r="K2" s="63" t="s">
        <v>4</v>
      </c>
      <c r="L2" s="64" t="s">
        <v>6</v>
      </c>
      <c r="M2" s="63" t="s">
        <v>7</v>
      </c>
      <c r="N2" s="64" t="s">
        <v>4</v>
      </c>
      <c r="O2" s="63" t="s">
        <v>6</v>
      </c>
      <c r="P2" s="64" t="s">
        <v>7</v>
      </c>
      <c r="Q2" s="63" t="s">
        <v>4</v>
      </c>
      <c r="R2" s="64" t="s">
        <v>6</v>
      </c>
      <c r="S2" s="63" t="s">
        <v>7</v>
      </c>
      <c r="T2" s="64" t="s">
        <v>4</v>
      </c>
      <c r="U2" s="63" t="s">
        <v>6</v>
      </c>
      <c r="V2" s="64" t="s">
        <v>7</v>
      </c>
      <c r="W2" s="63" t="s">
        <v>4</v>
      </c>
      <c r="X2" s="64" t="s">
        <v>6</v>
      </c>
      <c r="Y2" s="63" t="s">
        <v>7</v>
      </c>
      <c r="Z2" s="64" t="s">
        <v>4</v>
      </c>
      <c r="AA2" s="63" t="s">
        <v>6</v>
      </c>
      <c r="AB2" s="64" t="s">
        <v>7</v>
      </c>
    </row>
    <row r="3" spans="1:7">
      <c r="A3" s="1" t="s">
        <v>3</v>
      </c>
      <c r="B3" s="1" t="s">
        <v>6</v>
      </c>
      <c r="C3">
        <v>5934.00029912405</v>
      </c>
      <c r="E3" s="61" t="s">
        <v>5</v>
      </c>
      <c r="F3" s="62">
        <v>5934.00029912405</v>
      </c>
      <c r="G3" s="61">
        <v>30.3347247047706</v>
      </c>
    </row>
    <row r="4" spans="1:7">
      <c r="A4" s="1" t="s">
        <v>3</v>
      </c>
      <c r="B4" s="1" t="s">
        <v>7</v>
      </c>
      <c r="C4">
        <v>30.3347247047706</v>
      </c>
      <c r="E4" s="62" t="s">
        <v>8</v>
      </c>
      <c r="F4" s="61">
        <v>9669.14860158572</v>
      </c>
      <c r="G4" s="62">
        <v>44.9340652705591</v>
      </c>
    </row>
    <row r="5" spans="1:7">
      <c r="A5" s="1" t="s">
        <v>3</v>
      </c>
      <c r="B5" s="1" t="s">
        <v>4</v>
      </c>
      <c r="C5" t="s">
        <v>8</v>
      </c>
      <c r="E5" s="61" t="s">
        <v>9</v>
      </c>
      <c r="F5" s="62">
        <v>4566.77684330704</v>
      </c>
      <c r="G5" s="61">
        <v>27.8131753730207</v>
      </c>
    </row>
    <row r="6" spans="1:7">
      <c r="A6" s="1" t="s">
        <v>3</v>
      </c>
      <c r="B6" s="1" t="s">
        <v>6</v>
      </c>
      <c r="C6">
        <v>9669.14860158572</v>
      </c>
      <c r="E6" s="62" t="s">
        <v>10</v>
      </c>
      <c r="F6" s="61">
        <v>3775.79428698194</v>
      </c>
      <c r="G6" s="62">
        <v>22.1124636413674</v>
      </c>
    </row>
    <row r="7" spans="1:7">
      <c r="A7" s="1" t="s">
        <v>3</v>
      </c>
      <c r="B7" s="1" t="s">
        <v>7</v>
      </c>
      <c r="C7">
        <v>44.9340652705591</v>
      </c>
      <c r="E7" s="61" t="s">
        <v>11</v>
      </c>
      <c r="F7" s="62">
        <v>6305.39204237652</v>
      </c>
      <c r="G7" s="61">
        <v>21.6424868707119</v>
      </c>
    </row>
    <row r="8" spans="1:7">
      <c r="A8" s="1" t="s">
        <v>3</v>
      </c>
      <c r="B8" s="1" t="s">
        <v>4</v>
      </c>
      <c r="C8" t="s">
        <v>9</v>
      </c>
      <c r="E8" s="62" t="s">
        <v>12</v>
      </c>
      <c r="F8" s="61">
        <v>4340.10357960899</v>
      </c>
      <c r="G8" s="62">
        <v>16.022245730339</v>
      </c>
    </row>
    <row r="9" spans="1:7">
      <c r="A9" s="1" t="s">
        <v>3</v>
      </c>
      <c r="B9" s="1" t="s">
        <v>6</v>
      </c>
      <c r="C9">
        <v>4566.77684330704</v>
      </c>
      <c r="E9" s="61" t="s">
        <v>13</v>
      </c>
      <c r="F9" s="62">
        <v>4974.40218696538</v>
      </c>
      <c r="G9" s="61">
        <v>16.1525244812392</v>
      </c>
    </row>
    <row r="10" spans="1:7">
      <c r="A10" s="1" t="s">
        <v>3</v>
      </c>
      <c r="B10" s="1" t="s">
        <v>7</v>
      </c>
      <c r="C10">
        <v>27.8131753730207</v>
      </c>
      <c r="E10" s="62" t="s">
        <v>14</v>
      </c>
      <c r="F10" s="61">
        <v>4175.31971596288</v>
      </c>
      <c r="G10" s="62">
        <v>15.7101458199639</v>
      </c>
    </row>
    <row r="11" spans="1:3">
      <c r="A11" s="1" t="s">
        <v>3</v>
      </c>
      <c r="B11" s="1" t="s">
        <v>4</v>
      </c>
      <c r="C11" t="s">
        <v>10</v>
      </c>
    </row>
    <row r="12" spans="1:3">
      <c r="A12" s="1" t="s">
        <v>3</v>
      </c>
      <c r="B12" s="1" t="s">
        <v>6</v>
      </c>
      <c r="C12">
        <v>3775.79428698194</v>
      </c>
    </row>
    <row r="13" spans="1:3">
      <c r="A13" s="1" t="s">
        <v>3</v>
      </c>
      <c r="B13" s="1" t="s">
        <v>7</v>
      </c>
      <c r="C13">
        <v>22.1124636413674</v>
      </c>
    </row>
    <row r="14" spans="1:3">
      <c r="A14" s="1" t="s">
        <v>3</v>
      </c>
      <c r="B14" s="1" t="s">
        <v>4</v>
      </c>
      <c r="C14" t="s">
        <v>11</v>
      </c>
    </row>
    <row r="15" spans="1:3">
      <c r="A15" s="1" t="s">
        <v>3</v>
      </c>
      <c r="B15" s="1" t="s">
        <v>6</v>
      </c>
      <c r="C15">
        <v>6305.39204237652</v>
      </c>
    </row>
    <row r="16" spans="1:3">
      <c r="A16" s="1" t="s">
        <v>3</v>
      </c>
      <c r="B16" s="1" t="s">
        <v>7</v>
      </c>
      <c r="C16">
        <v>21.6424868707119</v>
      </c>
    </row>
    <row r="17" spans="1:3">
      <c r="A17" s="1" t="s">
        <v>3</v>
      </c>
      <c r="B17" s="1" t="s">
        <v>4</v>
      </c>
      <c r="C17" t="s">
        <v>12</v>
      </c>
    </row>
    <row r="18" spans="1:3">
      <c r="A18" s="1" t="s">
        <v>3</v>
      </c>
      <c r="B18" s="1" t="s">
        <v>6</v>
      </c>
      <c r="C18">
        <v>4340.10357960899</v>
      </c>
    </row>
    <row r="19" spans="1:3">
      <c r="A19" s="1" t="s">
        <v>3</v>
      </c>
      <c r="B19" s="1" t="s">
        <v>7</v>
      </c>
      <c r="C19">
        <v>16.022245730339</v>
      </c>
    </row>
    <row r="20" spans="1:3">
      <c r="A20" s="1" t="s">
        <v>3</v>
      </c>
      <c r="B20" s="1" t="s">
        <v>4</v>
      </c>
      <c r="C20" t="s">
        <v>13</v>
      </c>
    </row>
    <row r="21" spans="1:3">
      <c r="A21" s="1" t="s">
        <v>3</v>
      </c>
      <c r="B21" s="1" t="s">
        <v>6</v>
      </c>
      <c r="C21">
        <v>4974.40218696538</v>
      </c>
    </row>
    <row r="22" spans="1:3">
      <c r="A22" s="1" t="s">
        <v>3</v>
      </c>
      <c r="B22" s="1" t="s">
        <v>7</v>
      </c>
      <c r="C22">
        <v>16.1525244812392</v>
      </c>
    </row>
    <row r="23" spans="1:3">
      <c r="A23" s="1" t="s">
        <v>3</v>
      </c>
      <c r="B23" s="1" t="s">
        <v>4</v>
      </c>
      <c r="C23" t="s">
        <v>14</v>
      </c>
    </row>
    <row r="24" spans="1:3">
      <c r="A24" s="1" t="s">
        <v>3</v>
      </c>
      <c r="B24" s="1" t="s">
        <v>6</v>
      </c>
      <c r="C24">
        <v>4175.31971596288</v>
      </c>
    </row>
    <row r="25" spans="1:3">
      <c r="A25" s="1" t="s">
        <v>3</v>
      </c>
      <c r="B25" s="1" t="s">
        <v>7</v>
      </c>
      <c r="C25">
        <v>15.7101458199639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B1" workbookViewId="0">
      <selection activeCell="G21" sqref="G21"/>
    </sheetView>
  </sheetViews>
  <sheetFormatPr defaultColWidth="9" defaultRowHeight="14"/>
  <cols>
    <col min="1" max="1" width="18.75" customWidth="1"/>
    <col min="2" max="2" width="11.125" customWidth="1"/>
    <col min="3" max="3" width="25.25" customWidth="1"/>
    <col min="6" max="6" width="31.5" customWidth="1"/>
    <col min="7" max="7" width="15.625" customWidth="1"/>
    <col min="8" max="8" width="22.875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 t="s">
        <v>18</v>
      </c>
      <c r="B2" t="s">
        <v>4</v>
      </c>
      <c r="C2" t="s">
        <v>5</v>
      </c>
    </row>
    <row r="3" spans="1:3">
      <c r="A3" t="s">
        <v>18</v>
      </c>
      <c r="B3" t="s">
        <v>19</v>
      </c>
      <c r="C3">
        <v>2125.90625</v>
      </c>
    </row>
    <row r="4" spans="1:29">
      <c r="A4" t="s">
        <v>18</v>
      </c>
      <c r="B4" t="s">
        <v>20</v>
      </c>
      <c r="C4">
        <v>14638.82421875</v>
      </c>
      <c r="F4" s="59" t="s">
        <v>4</v>
      </c>
      <c r="G4" s="60" t="s">
        <v>19</v>
      </c>
      <c r="H4" s="59" t="s">
        <v>20</v>
      </c>
      <c r="I4" s="60"/>
      <c r="J4" s="59"/>
      <c r="K4" s="60"/>
      <c r="L4" s="59"/>
      <c r="M4" s="60"/>
      <c r="N4" s="59"/>
      <c r="O4" s="60"/>
      <c r="P4" s="59"/>
      <c r="Q4" s="60"/>
      <c r="R4" s="59"/>
      <c r="S4" s="60"/>
      <c r="T4" s="59"/>
      <c r="U4" s="60"/>
      <c r="V4" s="59"/>
      <c r="W4" s="60"/>
      <c r="X4" s="59"/>
      <c r="Y4" s="60"/>
      <c r="Z4" s="59"/>
      <c r="AA4" s="60"/>
      <c r="AB4" s="59"/>
      <c r="AC4" s="60"/>
    </row>
    <row r="5" spans="1:8">
      <c r="A5" t="s">
        <v>18</v>
      </c>
      <c r="B5" t="s">
        <v>4</v>
      </c>
      <c r="C5" t="s">
        <v>8</v>
      </c>
      <c r="F5" s="61" t="s">
        <v>5</v>
      </c>
      <c r="G5" s="62">
        <v>2125.90625</v>
      </c>
      <c r="H5" s="61">
        <v>14638.82421875</v>
      </c>
    </row>
    <row r="6" spans="1:8">
      <c r="A6" t="s">
        <v>18</v>
      </c>
      <c r="B6" t="s">
        <v>19</v>
      </c>
      <c r="C6">
        <v>2875.515625</v>
      </c>
      <c r="F6" s="62" t="s">
        <v>8</v>
      </c>
      <c r="G6" s="61">
        <v>2875.515625</v>
      </c>
      <c r="H6" s="62">
        <v>17008.2109375</v>
      </c>
    </row>
    <row r="7" spans="1:8">
      <c r="A7" t="s">
        <v>18</v>
      </c>
      <c r="B7" t="s">
        <v>20</v>
      </c>
      <c r="C7">
        <v>17008.2109375</v>
      </c>
      <c r="F7" s="61" t="s">
        <v>9</v>
      </c>
      <c r="G7" s="62">
        <v>1655.16015625</v>
      </c>
      <c r="H7" s="61">
        <v>13189.2265625</v>
      </c>
    </row>
    <row r="8" spans="1:8">
      <c r="A8" t="s">
        <v>18</v>
      </c>
      <c r="B8" t="s">
        <v>4</v>
      </c>
      <c r="C8" t="s">
        <v>9</v>
      </c>
      <c r="F8" s="62" t="s">
        <v>10</v>
      </c>
      <c r="G8" s="61">
        <v>1653.94921875</v>
      </c>
      <c r="H8" s="62">
        <v>13195.25</v>
      </c>
    </row>
    <row r="9" spans="1:8">
      <c r="A9" t="s">
        <v>18</v>
      </c>
      <c r="B9" t="s">
        <v>19</v>
      </c>
      <c r="C9">
        <v>1655.16015625</v>
      </c>
      <c r="F9" s="61" t="s">
        <v>11</v>
      </c>
      <c r="G9" s="62">
        <v>1719.9765625</v>
      </c>
      <c r="H9" s="61">
        <v>14074.890625</v>
      </c>
    </row>
    <row r="10" spans="1:8">
      <c r="A10" t="s">
        <v>18</v>
      </c>
      <c r="B10" t="s">
        <v>20</v>
      </c>
      <c r="C10">
        <v>13189.2265625</v>
      </c>
      <c r="F10" s="62" t="s">
        <v>12</v>
      </c>
      <c r="G10" s="61">
        <v>1676.171875</v>
      </c>
      <c r="H10" s="62">
        <v>14049.12890625</v>
      </c>
    </row>
    <row r="11" spans="1:8">
      <c r="A11" t="s">
        <v>18</v>
      </c>
      <c r="B11" t="s">
        <v>4</v>
      </c>
      <c r="C11" t="s">
        <v>10</v>
      </c>
      <c r="F11" s="61" t="s">
        <v>13</v>
      </c>
      <c r="G11" s="62">
        <v>1697.0234375</v>
      </c>
      <c r="H11" s="61">
        <v>14380.65234375</v>
      </c>
    </row>
    <row r="12" spans="1:8">
      <c r="A12" t="s">
        <v>18</v>
      </c>
      <c r="B12" t="s">
        <v>19</v>
      </c>
      <c r="C12">
        <v>1653.94921875</v>
      </c>
      <c r="F12" s="62" t="s">
        <v>14</v>
      </c>
      <c r="G12" s="61">
        <v>1695.3671875</v>
      </c>
      <c r="H12" s="62">
        <v>14366.97265625</v>
      </c>
    </row>
    <row r="13" spans="1:3">
      <c r="A13" t="s">
        <v>18</v>
      </c>
      <c r="B13" t="s">
        <v>20</v>
      </c>
      <c r="C13">
        <v>13195.25</v>
      </c>
    </row>
    <row r="14" spans="1:3">
      <c r="A14" t="s">
        <v>18</v>
      </c>
      <c r="B14" t="s">
        <v>4</v>
      </c>
      <c r="C14" t="s">
        <v>11</v>
      </c>
    </row>
    <row r="15" spans="1:3">
      <c r="A15" t="s">
        <v>18</v>
      </c>
      <c r="B15" t="s">
        <v>19</v>
      </c>
      <c r="C15">
        <v>1719.9765625</v>
      </c>
    </row>
    <row r="16" spans="1:3">
      <c r="A16" t="s">
        <v>18</v>
      </c>
      <c r="B16" t="s">
        <v>20</v>
      </c>
      <c r="C16">
        <v>14074.890625</v>
      </c>
    </row>
    <row r="17" spans="1:3">
      <c r="A17" t="s">
        <v>18</v>
      </c>
      <c r="B17" t="s">
        <v>4</v>
      </c>
      <c r="C17" t="s">
        <v>12</v>
      </c>
    </row>
    <row r="18" spans="1:3">
      <c r="A18" t="s">
        <v>18</v>
      </c>
      <c r="B18" t="s">
        <v>19</v>
      </c>
      <c r="C18">
        <v>1676.171875</v>
      </c>
    </row>
    <row r="19" spans="1:3">
      <c r="A19" t="s">
        <v>18</v>
      </c>
      <c r="B19" t="s">
        <v>20</v>
      </c>
      <c r="C19">
        <v>14049.12890625</v>
      </c>
    </row>
    <row r="20" spans="1:3">
      <c r="A20" t="s">
        <v>18</v>
      </c>
      <c r="B20" t="s">
        <v>4</v>
      </c>
      <c r="C20" t="s">
        <v>13</v>
      </c>
    </row>
    <row r="21" spans="1:3">
      <c r="A21" t="s">
        <v>18</v>
      </c>
      <c r="B21" t="s">
        <v>19</v>
      </c>
      <c r="C21">
        <v>1697.0234375</v>
      </c>
    </row>
    <row r="22" spans="1:3">
      <c r="A22" t="s">
        <v>18</v>
      </c>
      <c r="B22" t="s">
        <v>20</v>
      </c>
      <c r="C22">
        <v>14380.65234375</v>
      </c>
    </row>
    <row r="23" spans="1:3">
      <c r="A23" t="s">
        <v>18</v>
      </c>
      <c r="B23" t="s">
        <v>4</v>
      </c>
      <c r="C23" t="s">
        <v>14</v>
      </c>
    </row>
    <row r="24" spans="1:3">
      <c r="A24" t="s">
        <v>18</v>
      </c>
      <c r="B24" t="s">
        <v>19</v>
      </c>
      <c r="C24">
        <v>1695.3671875</v>
      </c>
    </row>
    <row r="25" spans="1:3">
      <c r="A25" t="s">
        <v>18</v>
      </c>
      <c r="B25" t="s">
        <v>20</v>
      </c>
      <c r="C25">
        <v>14366.97265625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tabSelected="1" zoomScale="70" zoomScaleNormal="70" topLeftCell="A10" workbookViewId="0">
      <selection activeCell="E94" sqref="E94"/>
    </sheetView>
  </sheetViews>
  <sheetFormatPr defaultColWidth="9" defaultRowHeight="14"/>
  <cols>
    <col min="1" max="1" width="31" customWidth="1"/>
    <col min="2" max="2" width="36" customWidth="1"/>
    <col min="3" max="3" width="16" customWidth="1"/>
    <col min="4" max="4" width="20.25" customWidth="1"/>
    <col min="5" max="5" width="30.9166666666667" customWidth="1"/>
    <col min="6" max="6" width="25.125" customWidth="1"/>
    <col min="7" max="7" width="20.375" customWidth="1"/>
    <col min="8" max="8" width="20.75" customWidth="1"/>
    <col min="9" max="9" width="24.75" customWidth="1"/>
    <col min="10" max="10" width="28.625" customWidth="1"/>
    <col min="11" max="11" width="18.625" customWidth="1"/>
    <col min="12" max="12" width="23.375" customWidth="1"/>
    <col min="13" max="13" width="29.75" customWidth="1"/>
    <col min="14" max="14" width="19.125" customWidth="1"/>
    <col min="15" max="15" width="21.125" customWidth="1"/>
  </cols>
  <sheetData>
    <row r="1" spans="1:15">
      <c r="A1" s="2"/>
      <c r="B1" s="2"/>
      <c r="C1" s="2"/>
      <c r="D1" s="2" t="s">
        <v>21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 t="s">
        <v>22</v>
      </c>
      <c r="E2" s="2"/>
      <c r="F2" s="2"/>
      <c r="G2" s="2"/>
      <c r="H2" s="2" t="s">
        <v>23</v>
      </c>
      <c r="I2" s="2"/>
      <c r="J2" s="2"/>
      <c r="K2" s="2"/>
      <c r="L2" s="2" t="s">
        <v>24</v>
      </c>
      <c r="M2" s="2"/>
      <c r="N2" s="2"/>
      <c r="O2" s="2"/>
    </row>
    <row r="3" spans="1:15">
      <c r="A3" s="2"/>
      <c r="B3" s="2"/>
      <c r="C3" s="2"/>
      <c r="D3" s="2" t="s">
        <v>25</v>
      </c>
      <c r="E3" s="2" t="s">
        <v>26</v>
      </c>
      <c r="F3" s="2" t="s">
        <v>27</v>
      </c>
      <c r="G3" s="2" t="s">
        <v>28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>
      <c r="A4" s="2" t="s">
        <v>29</v>
      </c>
      <c r="B4" s="2"/>
      <c r="C4" s="2"/>
      <c r="D4" s="3">
        <v>0.295221843003413</v>
      </c>
      <c r="E4" s="3">
        <v>0.0133297502933823</v>
      </c>
      <c r="F4" s="3">
        <v>0.324232081911263</v>
      </c>
      <c r="G4" s="3">
        <v>0.0136788103995188</v>
      </c>
      <c r="H4" s="3">
        <v>0.4061939852619</v>
      </c>
      <c r="I4" s="3">
        <v>0.00490117891790084</v>
      </c>
      <c r="J4" s="3">
        <v>0.52141007767377</v>
      </c>
      <c r="K4" s="3">
        <v>0.00498520476655506</v>
      </c>
      <c r="L4" s="3">
        <v>0.702393906420022</v>
      </c>
      <c r="M4" s="3">
        <v>0.0106673537923882</v>
      </c>
      <c r="N4" s="3">
        <v>0.699673558215452</v>
      </c>
      <c r="O4" s="3">
        <v>0.0106952253081831</v>
      </c>
    </row>
    <row r="5" spans="1:15">
      <c r="A5" s="2" t="s">
        <v>30</v>
      </c>
      <c r="B5" s="2" t="s">
        <v>31</v>
      </c>
      <c r="C5" s="2" t="s">
        <v>32</v>
      </c>
      <c r="D5" s="3">
        <v>0.295221843003413</v>
      </c>
      <c r="E5" s="3">
        <v>0.0133297502933823</v>
      </c>
      <c r="F5" s="3">
        <v>0.324232081911263</v>
      </c>
      <c r="G5" s="3">
        <v>0.0136788103995188</v>
      </c>
      <c r="H5" s="3">
        <v>0.405994821748656</v>
      </c>
      <c r="I5" s="3">
        <v>0.00490079886804813</v>
      </c>
      <c r="J5" s="3">
        <v>0.521708822943637</v>
      </c>
      <c r="K5" s="3">
        <v>0.00498507609446476</v>
      </c>
      <c r="L5" s="3">
        <v>0.70076169749728</v>
      </c>
      <c r="M5" s="3">
        <v>0.0106841306731346</v>
      </c>
      <c r="N5" s="3">
        <v>0.699129488574537</v>
      </c>
      <c r="O5" s="3">
        <v>0.010700745724146</v>
      </c>
    </row>
    <row r="6" spans="1:15">
      <c r="A6" s="2"/>
      <c r="B6" s="2"/>
      <c r="C6" s="2" t="s">
        <v>33</v>
      </c>
      <c r="D6" s="3">
        <v>0.295221843003413</v>
      </c>
      <c r="E6" s="3">
        <v>0.0133297502933823</v>
      </c>
      <c r="F6" s="3">
        <v>0.324232081911263</v>
      </c>
      <c r="G6" s="3">
        <v>0.0136788103995188</v>
      </c>
      <c r="H6" s="3">
        <v>0.4061939852619</v>
      </c>
      <c r="I6" s="3">
        <v>0.00490117891790084</v>
      </c>
      <c r="J6" s="3">
        <v>0.52141007767377</v>
      </c>
      <c r="K6" s="3">
        <v>0.00498520476655506</v>
      </c>
      <c r="L6" s="3">
        <v>0.702393906420022</v>
      </c>
      <c r="M6" s="3">
        <v>0.0106673537923882</v>
      </c>
      <c r="N6" s="3">
        <v>0.699673558215452</v>
      </c>
      <c r="O6" s="3">
        <v>0.0106952253081831</v>
      </c>
    </row>
    <row r="7" spans="1:15">
      <c r="A7" s="2"/>
      <c r="B7" s="2" t="s">
        <v>34</v>
      </c>
      <c r="C7" s="2" t="s">
        <v>32</v>
      </c>
      <c r="D7" s="3">
        <v>0.278156996587031</v>
      </c>
      <c r="E7" s="3">
        <v>0.0130944699195388</v>
      </c>
      <c r="F7" s="3">
        <v>0.341296928327645</v>
      </c>
      <c r="G7" s="3">
        <v>0.0138558312874977</v>
      </c>
      <c r="H7" s="3">
        <v>0.391953794064927</v>
      </c>
      <c r="I7" s="3">
        <v>0.00487188742289358</v>
      </c>
      <c r="J7" s="3">
        <v>0.498107946624178</v>
      </c>
      <c r="K7" s="3">
        <v>0.00498974568582043</v>
      </c>
      <c r="L7" s="3">
        <v>0.689880304678999</v>
      </c>
      <c r="M7" s="3">
        <v>0.010791876566843</v>
      </c>
      <c r="N7" s="3">
        <v>0.695321001088139</v>
      </c>
      <c r="O7" s="3">
        <v>0.0107388890443252</v>
      </c>
    </row>
    <row r="8" spans="1:15">
      <c r="A8" s="2"/>
      <c r="B8" s="2"/>
      <c r="C8" s="2" t="s">
        <v>33</v>
      </c>
      <c r="D8" s="3">
        <v>0.277303754266212</v>
      </c>
      <c r="E8" s="3">
        <v>0.0130820958390594</v>
      </c>
      <c r="F8" s="3">
        <v>0.342150170648464</v>
      </c>
      <c r="G8" s="3">
        <v>0.0138641521591773</v>
      </c>
      <c r="H8" s="3">
        <v>0.391555467038439</v>
      </c>
      <c r="I8" s="3">
        <v>0.00487100593940747</v>
      </c>
      <c r="J8" s="3">
        <v>0.498406691894045</v>
      </c>
      <c r="K8" s="3">
        <v>0.00498975607695635</v>
      </c>
      <c r="L8" s="3">
        <v>0.691512513601741</v>
      </c>
      <c r="M8" s="3">
        <v>0.0107761646780372</v>
      </c>
      <c r="N8" s="3">
        <v>0.696409140369967</v>
      </c>
      <c r="O8" s="3">
        <v>0.0107280798930764</v>
      </c>
    </row>
    <row r="9" spans="1:15">
      <c r="A9" s="2"/>
      <c r="B9" s="2" t="s">
        <v>35</v>
      </c>
      <c r="C9" s="2" t="s">
        <v>32</v>
      </c>
      <c r="D9" s="3">
        <v>0.284129692832765</v>
      </c>
      <c r="E9" s="3">
        <v>0.0131794424476539</v>
      </c>
      <c r="F9" s="3">
        <v>0.308873720136519</v>
      </c>
      <c r="G9" s="3">
        <v>0.013501770929344</v>
      </c>
      <c r="H9" s="3">
        <v>0.389165504879506</v>
      </c>
      <c r="I9" s="3">
        <v>0.00486564548591042</v>
      </c>
      <c r="J9" s="3">
        <v>0.493228440549691</v>
      </c>
      <c r="K9" s="3">
        <v>0.00498932378741351</v>
      </c>
      <c r="L9" s="3">
        <v>0.693144722524483</v>
      </c>
      <c r="M9" s="3">
        <v>0.0107602950705804</v>
      </c>
      <c r="N9" s="3">
        <v>0.690424374319913</v>
      </c>
      <c r="O9" s="3">
        <v>0.0107866567521833</v>
      </c>
    </row>
    <row r="10" spans="1:15">
      <c r="A10" s="2"/>
      <c r="B10" s="2"/>
      <c r="C10" s="2" t="s">
        <v>33</v>
      </c>
      <c r="D10" s="3">
        <v>0.282423208191126</v>
      </c>
      <c r="E10" s="3">
        <v>0.0131554568840972</v>
      </c>
      <c r="F10" s="3">
        <v>0.310580204778157</v>
      </c>
      <c r="G10" s="3">
        <v>0.0135222920980531</v>
      </c>
      <c r="H10" s="3">
        <v>0.389165504879506</v>
      </c>
      <c r="I10" s="3">
        <v>0.00486564548591042</v>
      </c>
      <c r="J10" s="3">
        <v>0.493726349332802</v>
      </c>
      <c r="K10" s="3">
        <v>0.00498938861343881</v>
      </c>
      <c r="L10" s="3">
        <v>0.693144722524483</v>
      </c>
      <c r="M10" s="3">
        <v>0.0107602950705804</v>
      </c>
      <c r="N10" s="3">
        <v>0.689880304678999</v>
      </c>
      <c r="O10" s="3">
        <v>0.010791876566843</v>
      </c>
    </row>
    <row r="11" spans="1:15">
      <c r="A11" s="2"/>
      <c r="B11" s="2" t="s">
        <v>36</v>
      </c>
      <c r="C11" s="2" t="s">
        <v>32</v>
      </c>
      <c r="D11" s="3">
        <v>0.307167235494881</v>
      </c>
      <c r="E11" s="3">
        <v>0.0134810340549809</v>
      </c>
      <c r="F11" s="3">
        <v>0.340443686006826</v>
      </c>
      <c r="G11" s="3">
        <v>0.013847460518893</v>
      </c>
      <c r="H11" s="3">
        <v>0.405994821748656</v>
      </c>
      <c r="I11" s="3">
        <v>0.00490079886804813</v>
      </c>
      <c r="J11" s="3">
        <v>0.523999203345947</v>
      </c>
      <c r="K11" s="3">
        <v>0.0049840302505073</v>
      </c>
      <c r="L11" s="3">
        <v>0.70348204570185</v>
      </c>
      <c r="M11" s="3">
        <v>0.0106560789226611</v>
      </c>
      <c r="N11" s="3">
        <v>0.701305767138194</v>
      </c>
      <c r="O11" s="3">
        <v>0.0106785563981492</v>
      </c>
    </row>
    <row r="12" spans="1:15">
      <c r="A12" s="2"/>
      <c r="B12" s="2"/>
      <c r="C12" s="2" t="s">
        <v>33</v>
      </c>
      <c r="D12" s="3">
        <v>0.307167235494881</v>
      </c>
      <c r="E12" s="3">
        <v>0.0134810340549809</v>
      </c>
      <c r="F12" s="3">
        <v>0.340443686006826</v>
      </c>
      <c r="G12" s="3">
        <v>0.013847460518893</v>
      </c>
      <c r="H12" s="3">
        <v>0.405496912965545</v>
      </c>
      <c r="I12" s="3">
        <v>0.00489984508718311</v>
      </c>
      <c r="J12" s="3">
        <v>0.523899621589325</v>
      </c>
      <c r="K12" s="3">
        <v>0.0049840779062161</v>
      </c>
      <c r="L12" s="3">
        <v>0.704570184983678</v>
      </c>
      <c r="M12" s="3">
        <v>0.0106447315593425</v>
      </c>
      <c r="N12" s="3">
        <v>0.701849836779108</v>
      </c>
      <c r="O12" s="3">
        <v>0.0106729641140083</v>
      </c>
    </row>
    <row r="14" spans="1:15">
      <c r="A14" s="2" t="s">
        <v>37</v>
      </c>
      <c r="B14" s="2" t="s">
        <v>31</v>
      </c>
      <c r="C14" s="2"/>
      <c r="D14" s="4">
        <f>(D5-D6)/D6</f>
        <v>0</v>
      </c>
      <c r="E14" s="4">
        <f t="shared" ref="E14:O14" si="0">(E5-E6)/E6</f>
        <v>0</v>
      </c>
      <c r="F14" s="4">
        <f t="shared" si="0"/>
        <v>0</v>
      </c>
      <c r="G14" s="4">
        <f t="shared" si="0"/>
        <v>0</v>
      </c>
      <c r="H14" s="4">
        <f t="shared" si="0"/>
        <v>-0.000490316253983596</v>
      </c>
      <c r="I14" s="4">
        <f t="shared" si="0"/>
        <v>-7.75425380462045e-5</v>
      </c>
      <c r="J14" s="4">
        <f t="shared" si="0"/>
        <v>0.000572956455309507</v>
      </c>
      <c r="K14" s="4">
        <f t="shared" si="0"/>
        <v>-2.5810793402309e-5</v>
      </c>
      <c r="L14" s="4">
        <f t="shared" si="0"/>
        <v>-0.00232378001549181</v>
      </c>
      <c r="M14" s="4">
        <f t="shared" si="0"/>
        <v>0.00157273125771274</v>
      </c>
      <c r="N14" s="4">
        <f t="shared" si="0"/>
        <v>-0.000777604976671991</v>
      </c>
      <c r="O14" s="4">
        <f t="shared" si="0"/>
        <v>0.000516157051746261</v>
      </c>
    </row>
    <row r="15" spans="1:15">
      <c r="A15" s="2"/>
      <c r="B15" s="2" t="s">
        <v>34</v>
      </c>
      <c r="C15" s="2"/>
      <c r="D15" s="4">
        <f>(D7-D8)/D8</f>
        <v>0.00307692307692292</v>
      </c>
      <c r="E15" s="4">
        <f t="shared" ref="E15:O15" si="1">(E7-E8)/E8</f>
        <v>0.000945879057274905</v>
      </c>
      <c r="F15" s="4">
        <f t="shared" si="1"/>
        <v>-0.00249376558603479</v>
      </c>
      <c r="G15" s="4">
        <f t="shared" si="1"/>
        <v>-0.000600171693445109</v>
      </c>
      <c r="H15" s="4">
        <f t="shared" si="1"/>
        <v>0.00101729399796537</v>
      </c>
      <c r="I15" s="4">
        <f t="shared" si="1"/>
        <v>0.000180965389300511</v>
      </c>
      <c r="J15" s="4">
        <f t="shared" si="1"/>
        <v>-0.000599400599400604</v>
      </c>
      <c r="K15" s="4">
        <f t="shared" si="1"/>
        <v>-2.08249376491996e-6</v>
      </c>
      <c r="L15" s="4">
        <f t="shared" si="1"/>
        <v>-0.00236034618410711</v>
      </c>
      <c r="M15" s="4">
        <f t="shared" si="1"/>
        <v>0.00145802233682518</v>
      </c>
      <c r="N15" s="4">
        <f t="shared" si="1"/>
        <v>-0.00156249999999996</v>
      </c>
      <c r="O15" s="4">
        <f t="shared" si="1"/>
        <v>0.00100755693064572</v>
      </c>
    </row>
    <row r="16" spans="1:15">
      <c r="A16" s="2"/>
      <c r="B16" s="2" t="s">
        <v>35</v>
      </c>
      <c r="C16" s="2"/>
      <c r="D16" s="4">
        <f>(D9-D10)/D10</f>
        <v>0.00604229607250764</v>
      </c>
      <c r="E16" s="4">
        <f t="shared" ref="E16:O16" si="2">(E9-E10)/E10</f>
        <v>0.00182324063451267</v>
      </c>
      <c r="F16" s="4">
        <f t="shared" si="2"/>
        <v>-0.00549450549450558</v>
      </c>
      <c r="G16" s="4">
        <f t="shared" si="2"/>
        <v>-0.00151758064093409</v>
      </c>
      <c r="H16" s="4">
        <f t="shared" si="2"/>
        <v>0</v>
      </c>
      <c r="I16" s="4">
        <f t="shared" si="2"/>
        <v>0</v>
      </c>
      <c r="J16" s="4">
        <f t="shared" si="2"/>
        <v>-0.00100847115772493</v>
      </c>
      <c r="K16" s="4">
        <f t="shared" si="2"/>
        <v>-1.29927793395041e-5</v>
      </c>
      <c r="L16" s="4">
        <f t="shared" si="2"/>
        <v>0</v>
      </c>
      <c r="M16" s="4">
        <f t="shared" si="2"/>
        <v>0</v>
      </c>
      <c r="N16" s="4">
        <f t="shared" si="2"/>
        <v>0.000788643533123171</v>
      </c>
      <c r="O16" s="4">
        <f t="shared" si="2"/>
        <v>-0.000483679981638249</v>
      </c>
    </row>
    <row r="17" spans="1:15">
      <c r="A17" s="2"/>
      <c r="B17" s="2" t="s">
        <v>36</v>
      </c>
      <c r="C17" s="2"/>
      <c r="D17" s="4">
        <f>(D11-D12)/D12</f>
        <v>0</v>
      </c>
      <c r="E17" s="4">
        <f t="shared" ref="E17:O17" si="3">(E11-E12)/E12</f>
        <v>0</v>
      </c>
      <c r="F17" s="4">
        <f t="shared" si="3"/>
        <v>0</v>
      </c>
      <c r="G17" s="4">
        <f t="shared" si="3"/>
        <v>0</v>
      </c>
      <c r="H17" s="4">
        <f t="shared" si="3"/>
        <v>0.0012278978389</v>
      </c>
      <c r="I17" s="4">
        <f t="shared" si="3"/>
        <v>0.000194655310127895</v>
      </c>
      <c r="J17" s="4">
        <f t="shared" si="3"/>
        <v>0.000190077931952278</v>
      </c>
      <c r="K17" s="4">
        <f t="shared" si="3"/>
        <v>-9.56158986545269e-6</v>
      </c>
      <c r="L17" s="4">
        <f t="shared" si="3"/>
        <v>-0.00154440154440167</v>
      </c>
      <c r="M17" s="4">
        <f t="shared" si="3"/>
        <v>0.00106600746626748</v>
      </c>
      <c r="N17" s="4">
        <f t="shared" si="3"/>
        <v>-0.000775193798449595</v>
      </c>
      <c r="O17" s="4">
        <f t="shared" si="3"/>
        <v>0.000523967295419844</v>
      </c>
    </row>
    <row r="19" spans="1:7">
      <c r="A19" s="5" t="s">
        <v>38</v>
      </c>
      <c r="B19" s="5"/>
      <c r="C19" s="5"/>
      <c r="E19" s="5" t="s">
        <v>39</v>
      </c>
      <c r="F19" s="5"/>
      <c r="G19" s="5"/>
    </row>
    <row r="20" spans="1:7">
      <c r="A20" s="6" t="s">
        <v>4</v>
      </c>
      <c r="B20" s="7" t="s">
        <v>19</v>
      </c>
      <c r="C20" s="8" t="s">
        <v>20</v>
      </c>
      <c r="E20" s="9" t="s">
        <v>4</v>
      </c>
      <c r="F20" s="10" t="s">
        <v>6</v>
      </c>
      <c r="G20" s="11" t="s">
        <v>7</v>
      </c>
    </row>
    <row r="21" spans="1:7">
      <c r="A21" s="12" t="s">
        <v>5</v>
      </c>
      <c r="B21" s="13">
        <v>2125.90625</v>
      </c>
      <c r="C21" s="14">
        <v>14638.82421875</v>
      </c>
      <c r="E21" s="12" t="s">
        <v>5</v>
      </c>
      <c r="F21" s="13">
        <v>5934.00029912405</v>
      </c>
      <c r="G21" s="14">
        <v>30.3347247047706</v>
      </c>
    </row>
    <row r="22" spans="1:7">
      <c r="A22" s="6" t="s">
        <v>8</v>
      </c>
      <c r="B22" s="15">
        <v>2875.515625</v>
      </c>
      <c r="C22" s="16">
        <v>17008.2109375</v>
      </c>
      <c r="E22" s="6" t="s">
        <v>8</v>
      </c>
      <c r="F22" s="15">
        <v>9669.14860158572</v>
      </c>
      <c r="G22" s="16">
        <v>44.9340652705591</v>
      </c>
    </row>
    <row r="23" spans="1:7">
      <c r="A23" s="12" t="s">
        <v>9</v>
      </c>
      <c r="B23" s="13">
        <v>1655.16015625</v>
      </c>
      <c r="C23" s="14">
        <v>13189.2265625</v>
      </c>
      <c r="E23" s="12" t="s">
        <v>9</v>
      </c>
      <c r="F23" s="13">
        <v>4566.77684330704</v>
      </c>
      <c r="G23" s="14">
        <v>27.8131753730207</v>
      </c>
    </row>
    <row r="24" spans="1:7">
      <c r="A24" s="6" t="s">
        <v>10</v>
      </c>
      <c r="B24" s="15">
        <v>1653.94921875</v>
      </c>
      <c r="C24" s="16">
        <v>13195.25</v>
      </c>
      <c r="E24" s="6" t="s">
        <v>10</v>
      </c>
      <c r="F24" s="15">
        <v>3775.79428698194</v>
      </c>
      <c r="G24" s="16">
        <v>22.1124636413674</v>
      </c>
    </row>
    <row r="25" spans="1:7">
      <c r="A25" s="12" t="s">
        <v>11</v>
      </c>
      <c r="B25" s="13">
        <v>1719.9765625</v>
      </c>
      <c r="C25" s="14">
        <v>14074.890625</v>
      </c>
      <c r="E25" s="12" t="s">
        <v>11</v>
      </c>
      <c r="F25" s="13">
        <v>6305.39204237652</v>
      </c>
      <c r="G25" s="14">
        <v>21.6424868707119</v>
      </c>
    </row>
    <row r="26" spans="1:7">
      <c r="A26" s="6" t="s">
        <v>12</v>
      </c>
      <c r="B26" s="15">
        <v>1676.171875</v>
      </c>
      <c r="C26" s="16">
        <v>14049.12890625</v>
      </c>
      <c r="E26" s="6" t="s">
        <v>12</v>
      </c>
      <c r="F26" s="15">
        <v>4340.10357960899</v>
      </c>
      <c r="G26" s="16">
        <v>16.022245730339</v>
      </c>
    </row>
    <row r="27" spans="1:7">
      <c r="A27" s="12" t="s">
        <v>13</v>
      </c>
      <c r="B27" s="13">
        <v>1697.0234375</v>
      </c>
      <c r="C27" s="14">
        <v>14380.65234375</v>
      </c>
      <c r="E27" s="12" t="s">
        <v>13</v>
      </c>
      <c r="F27" s="13">
        <v>4974.40218696538</v>
      </c>
      <c r="G27" s="14">
        <v>16.1525244812392</v>
      </c>
    </row>
    <row r="28" spans="1:7">
      <c r="A28" s="6" t="s">
        <v>14</v>
      </c>
      <c r="B28" s="15">
        <v>1695.3671875</v>
      </c>
      <c r="C28" s="16">
        <v>14366.97265625</v>
      </c>
      <c r="E28" s="6" t="s">
        <v>14</v>
      </c>
      <c r="F28" s="15">
        <v>4175.31971596288</v>
      </c>
      <c r="G28" s="16">
        <v>15.7101458199639</v>
      </c>
    </row>
    <row r="29" spans="1:7">
      <c r="A29" s="17" t="s">
        <v>40</v>
      </c>
      <c r="B29" s="18">
        <v>2215.09375</v>
      </c>
      <c r="C29" s="19">
        <v>14808.0546875</v>
      </c>
      <c r="E29" s="17" t="s">
        <v>40</v>
      </c>
      <c r="F29" s="20">
        <v>11176.7740339089</v>
      </c>
      <c r="G29" s="21">
        <v>37.2707543779032</v>
      </c>
    </row>
    <row r="30" spans="1:7">
      <c r="A30" s="22" t="s">
        <v>41</v>
      </c>
      <c r="B30" s="23">
        <v>2633.8125</v>
      </c>
      <c r="C30" s="24">
        <v>16522.078125</v>
      </c>
      <c r="E30" s="22" t="s">
        <v>41</v>
      </c>
      <c r="F30" s="25">
        <v>8665.41860784282</v>
      </c>
      <c r="G30" s="26">
        <v>41.739027979044</v>
      </c>
    </row>
    <row r="32" ht="14.75" spans="1:7">
      <c r="A32" s="27" t="s">
        <v>42</v>
      </c>
      <c r="B32" s="27"/>
      <c r="C32" s="27"/>
      <c r="E32" s="27" t="s">
        <v>43</v>
      </c>
      <c r="F32" s="27"/>
      <c r="G32" s="27"/>
    </row>
    <row r="33" ht="14.75" spans="1:7">
      <c r="A33" s="28" t="s">
        <v>4</v>
      </c>
      <c r="B33" s="29" t="s">
        <v>19</v>
      </c>
      <c r="C33" s="30" t="s">
        <v>20</v>
      </c>
      <c r="E33" s="28" t="s">
        <v>4</v>
      </c>
      <c r="F33" s="29" t="s">
        <v>19</v>
      </c>
      <c r="G33" s="30" t="s">
        <v>20</v>
      </c>
    </row>
    <row r="34" spans="1:7">
      <c r="A34" s="31" t="s">
        <v>31</v>
      </c>
      <c r="B34" s="32">
        <f>-(B21-B22)/B22</f>
        <v>0.260686942015834</v>
      </c>
      <c r="C34" s="33">
        <f>-(C21-C22)/C22</f>
        <v>0.139308403891319</v>
      </c>
      <c r="E34" s="31" t="s">
        <v>31</v>
      </c>
      <c r="F34" s="32">
        <f>(F21-F22)/F22</f>
        <v>-0.386295469887505</v>
      </c>
      <c r="G34" s="33">
        <f>(G21-G22)/G22</f>
        <v>-0.324905847665513</v>
      </c>
    </row>
    <row r="35" spans="1:7">
      <c r="A35" s="34" t="s">
        <v>34</v>
      </c>
      <c r="B35" s="35">
        <f>(B24-B23)/B24</f>
        <v>-0.000732149141141822</v>
      </c>
      <c r="C35" s="36">
        <f>(C24-C23)/C24</f>
        <v>0.000456485288266611</v>
      </c>
      <c r="E35" s="34" t="s">
        <v>34</v>
      </c>
      <c r="F35" s="35">
        <f>(F23-F24)/F24</f>
        <v>0.209487725285306</v>
      </c>
      <c r="G35" s="36">
        <f>(G23-G24)/G24</f>
        <v>0.257805363713004</v>
      </c>
    </row>
    <row r="36" spans="1:7">
      <c r="A36" s="31" t="s">
        <v>35</v>
      </c>
      <c r="B36" s="32">
        <f>(B26-B25)/B26</f>
        <v>-0.0261337683523654</v>
      </c>
      <c r="C36" s="33">
        <f>(C26-C25)/C26</f>
        <v>-0.00183368797609505</v>
      </c>
      <c r="E36" s="31" t="s">
        <v>35</v>
      </c>
      <c r="F36" s="32">
        <f>-(F26-F25)/F26</f>
        <v>0.452820635894728</v>
      </c>
      <c r="G36" s="33">
        <f>-(G26-G25)/G26</f>
        <v>0.350777365106232</v>
      </c>
    </row>
    <row r="37" spans="1:7">
      <c r="A37" s="34" t="s">
        <v>36</v>
      </c>
      <c r="B37" s="35">
        <f>(B28-B27)/B28</f>
        <v>-0.000976927011571055</v>
      </c>
      <c r="C37" s="36">
        <f>(C28-C27)/C28</f>
        <v>-0.000952162144893412</v>
      </c>
      <c r="E37" s="34" t="s">
        <v>36</v>
      </c>
      <c r="F37" s="35">
        <f>-(F28-F27)/F28</f>
        <v>0.191382343236492</v>
      </c>
      <c r="G37" s="36">
        <f>-(G28-G27)/G28</f>
        <v>0.0281587877251363</v>
      </c>
    </row>
    <row r="38" spans="1:7">
      <c r="A38" s="37" t="s">
        <v>44</v>
      </c>
      <c r="B38" s="38">
        <f>(B30-B29)/B30</f>
        <v>0.15897819225932</v>
      </c>
      <c r="C38" s="39">
        <f>(C30-C29)/C30</f>
        <v>0.103741395273181</v>
      </c>
      <c r="E38" s="37" t="s">
        <v>44</v>
      </c>
      <c r="F38" s="38">
        <f>(F29-F30)/F30</f>
        <v>0.289813515043939</v>
      </c>
      <c r="G38" s="39">
        <f>(G29-G30)/G30</f>
        <v>-0.107052651139461</v>
      </c>
    </row>
    <row r="42" spans="1:7">
      <c r="A42" s="40" t="s">
        <v>45</v>
      </c>
      <c r="B42" s="40"/>
      <c r="C42" s="40"/>
      <c r="D42" s="41"/>
      <c r="E42" s="40" t="s">
        <v>46</v>
      </c>
      <c r="F42" s="40"/>
      <c r="G42" s="40"/>
    </row>
    <row r="43" spans="1:7">
      <c r="A43" s="42" t="s">
        <v>4</v>
      </c>
      <c r="B43" s="43" t="s">
        <v>19</v>
      </c>
      <c r="C43" s="44" t="s">
        <v>20</v>
      </c>
      <c r="D43" s="41"/>
      <c r="E43" s="42" t="s">
        <v>4</v>
      </c>
      <c r="F43" s="43" t="s">
        <v>19</v>
      </c>
      <c r="G43" s="44" t="s">
        <v>20</v>
      </c>
    </row>
    <row r="44" spans="1:7">
      <c r="A44" s="45" t="s">
        <v>47</v>
      </c>
      <c r="B44" s="45"/>
      <c r="C44" s="45"/>
      <c r="D44" s="41"/>
      <c r="E44" s="45" t="s">
        <v>47</v>
      </c>
      <c r="F44" s="45"/>
      <c r="G44" s="45"/>
    </row>
    <row r="45" spans="1:7">
      <c r="A45" s="46" t="s">
        <v>48</v>
      </c>
      <c r="B45" s="47">
        <f>(B23-B21)/B21</f>
        <v>-0.221433138808449</v>
      </c>
      <c r="C45" s="48">
        <f>(C23-C21)/C21</f>
        <v>-0.0990241862726445</v>
      </c>
      <c r="D45" s="41"/>
      <c r="E45" s="46" t="s">
        <v>48</v>
      </c>
      <c r="F45" s="49">
        <f>(F23-F21)/F21</f>
        <v>-0.230405019699583</v>
      </c>
      <c r="G45" s="50">
        <f>(G23-G21)/G21</f>
        <v>-0.0831241870922055</v>
      </c>
    </row>
    <row r="46" spans="1:7">
      <c r="A46" s="46" t="s">
        <v>49</v>
      </c>
      <c r="B46" s="49">
        <f>(B25-B21)/B21</f>
        <v>-0.190944303164827</v>
      </c>
      <c r="C46" s="50">
        <f>(C25-C21)/C21</f>
        <v>-0.038523148124676</v>
      </c>
      <c r="D46" s="41"/>
      <c r="E46" s="46" t="s">
        <v>49</v>
      </c>
      <c r="F46" s="47">
        <f>(F25-F21)/F21</f>
        <v>0.0625870786200152</v>
      </c>
      <c r="G46" s="48">
        <f>(G25-G21)/G21</f>
        <v>-0.286544147628006</v>
      </c>
    </row>
    <row r="47" spans="1:7">
      <c r="A47" s="46" t="s">
        <v>50</v>
      </c>
      <c r="B47" s="47">
        <f>(B27-B21)/B21</f>
        <v>-0.20174116920725</v>
      </c>
      <c r="C47" s="48">
        <f>(C27-C21)/C21</f>
        <v>-0.017636107322699</v>
      </c>
      <c r="D47" s="41"/>
      <c r="E47" s="46" t="s">
        <v>50</v>
      </c>
      <c r="F47" s="49">
        <f>(F27-F21)/F21</f>
        <v>-0.161711840880817</v>
      </c>
      <c r="G47" s="50">
        <f>(G27-G21)/G21</f>
        <v>-0.467523617292002</v>
      </c>
    </row>
    <row r="48" spans="1:7">
      <c r="A48" s="45" t="s">
        <v>51</v>
      </c>
      <c r="B48" s="45"/>
      <c r="C48" s="45"/>
      <c r="D48" s="41"/>
      <c r="E48" s="45" t="s">
        <v>51</v>
      </c>
      <c r="F48" s="45"/>
      <c r="G48" s="45"/>
    </row>
    <row r="49" spans="1:7">
      <c r="A49" s="46" t="s">
        <v>48</v>
      </c>
      <c r="B49" s="47">
        <f t="shared" ref="B49:G49" si="4">(B24-B22)/B22</f>
        <v>-0.424816473132536</v>
      </c>
      <c r="C49" s="48">
        <f t="shared" si="4"/>
        <v>-0.224183540027312</v>
      </c>
      <c r="D49" s="41"/>
      <c r="E49" s="46" t="s">
        <v>48</v>
      </c>
      <c r="F49" s="49">
        <f t="shared" si="4"/>
        <v>-0.609500852395348</v>
      </c>
      <c r="G49" s="50">
        <f t="shared" si="4"/>
        <v>-0.507890872810577</v>
      </c>
    </row>
    <row r="50" spans="1:7">
      <c r="A50" s="46" t="s">
        <v>49</v>
      </c>
      <c r="B50" s="49">
        <f t="shared" ref="B50:G50" si="5">(B26-B22)/B22</f>
        <v>-0.417088239609201</v>
      </c>
      <c r="C50" s="50">
        <f t="shared" si="5"/>
        <v>-0.173979617381495</v>
      </c>
      <c r="D50" s="41"/>
      <c r="E50" s="46" t="s">
        <v>49</v>
      </c>
      <c r="F50" s="47">
        <f t="shared" si="5"/>
        <v>-0.551139013532461</v>
      </c>
      <c r="G50" s="48">
        <f t="shared" si="5"/>
        <v>-0.64342763927846</v>
      </c>
    </row>
    <row r="51" spans="1:7">
      <c r="A51" s="46" t="s">
        <v>50</v>
      </c>
      <c r="B51" s="47">
        <f t="shared" ref="B51:G51" si="6">(B28-B22)/B22</f>
        <v>-0.410412806398852</v>
      </c>
      <c r="C51" s="48">
        <f t="shared" si="6"/>
        <v>-0.155291952278564</v>
      </c>
      <c r="D51" s="41"/>
      <c r="E51" s="46" t="s">
        <v>50</v>
      </c>
      <c r="F51" s="49">
        <f t="shared" si="6"/>
        <v>-0.568181244491564</v>
      </c>
      <c r="G51" s="50">
        <f t="shared" si="6"/>
        <v>-0.650373369839358</v>
      </c>
    </row>
    <row r="52" spans="1:7">
      <c r="A52" s="45" t="s">
        <v>52</v>
      </c>
      <c r="B52" s="45"/>
      <c r="C52" s="45"/>
      <c r="D52" s="41"/>
      <c r="E52" s="45" t="s">
        <v>52</v>
      </c>
      <c r="F52" s="45"/>
      <c r="G52" s="45"/>
    </row>
    <row r="53" spans="1:7">
      <c r="A53" s="46" t="s">
        <v>48</v>
      </c>
      <c r="B53" s="47">
        <f t="shared" ref="B53:G53" si="7">(B23-B22)/B22</f>
        <v>-0.424395353007341</v>
      </c>
      <c r="C53" s="48">
        <f t="shared" si="7"/>
        <v>-0.224537688827685</v>
      </c>
      <c r="D53" s="41"/>
      <c r="E53" s="46" t="s">
        <v>48</v>
      </c>
      <c r="F53" s="49">
        <f t="shared" si="7"/>
        <v>-0.527696074237798</v>
      </c>
      <c r="G53" s="50">
        <f t="shared" si="7"/>
        <v>-0.381022500289019</v>
      </c>
    </row>
    <row r="54" spans="1:7">
      <c r="A54" s="46" t="s">
        <v>49</v>
      </c>
      <c r="B54" s="49">
        <f t="shared" ref="B54:G54" si="8">(B25-B22)/B22</f>
        <v>-0.401854558693278</v>
      </c>
      <c r="C54" s="50">
        <f t="shared" si="8"/>
        <v>-0.172464953737878</v>
      </c>
      <c r="D54" s="41"/>
      <c r="E54" s="46" t="s">
        <v>49</v>
      </c>
      <c r="F54" s="47">
        <f t="shared" si="8"/>
        <v>-0.347885496211895</v>
      </c>
      <c r="G54" s="48">
        <f t="shared" si="8"/>
        <v>-0.51835012611485</v>
      </c>
    </row>
    <row r="55" spans="1:7">
      <c r="A55" s="51" t="s">
        <v>50</v>
      </c>
      <c r="B55" s="52">
        <f t="shared" ref="B55:G55" si="9">(B27-B22)/B22</f>
        <v>-0.409836822743747</v>
      </c>
      <c r="C55" s="53">
        <f t="shared" si="9"/>
        <v>-0.154487653252037</v>
      </c>
      <c r="D55" s="41"/>
      <c r="E55" s="51" t="s">
        <v>50</v>
      </c>
      <c r="F55" s="54">
        <f t="shared" si="9"/>
        <v>-0.485538759208894</v>
      </c>
      <c r="G55" s="55">
        <f t="shared" si="9"/>
        <v>-0.64052830777761</v>
      </c>
    </row>
    <row r="56" spans="1:7">
      <c r="A56" s="41"/>
      <c r="B56" s="41"/>
      <c r="C56" s="41"/>
      <c r="D56" s="41"/>
      <c r="E56" s="41"/>
      <c r="F56" s="41"/>
      <c r="G56" s="41"/>
    </row>
    <row r="57" spans="1:7">
      <c r="A57" s="56" t="s">
        <v>53</v>
      </c>
      <c r="B57" s="57"/>
      <c r="C57" s="58"/>
      <c r="D57" s="41"/>
      <c r="E57" s="40" t="s">
        <v>54</v>
      </c>
      <c r="F57" s="40"/>
      <c r="G57" s="40"/>
    </row>
    <row r="58" spans="1:7">
      <c r="A58" s="42" t="s">
        <v>4</v>
      </c>
      <c r="B58" s="43" t="s">
        <v>19</v>
      </c>
      <c r="C58" s="44" t="s">
        <v>20</v>
      </c>
      <c r="D58" s="41"/>
      <c r="E58" s="42" t="s">
        <v>4</v>
      </c>
      <c r="F58" s="43" t="s">
        <v>19</v>
      </c>
      <c r="G58" s="44" t="s">
        <v>20</v>
      </c>
    </row>
    <row r="59" spans="1:7">
      <c r="A59" s="45" t="s">
        <v>55</v>
      </c>
      <c r="B59" s="45"/>
      <c r="C59" s="45"/>
      <c r="D59" s="41"/>
      <c r="E59" s="45" t="s">
        <v>55</v>
      </c>
      <c r="F59" s="45"/>
      <c r="G59" s="45"/>
    </row>
    <row r="60" spans="1:7">
      <c r="A60" s="46" t="s">
        <v>48</v>
      </c>
      <c r="B60" s="49">
        <f t="shared" ref="B60:G60" si="10">(B29-B23)/B29</f>
        <v>0.252780991210869</v>
      </c>
      <c r="C60" s="49">
        <f t="shared" si="10"/>
        <v>0.109320782450007</v>
      </c>
      <c r="D60" s="41"/>
      <c r="E60" s="46" t="s">
        <v>48</v>
      </c>
      <c r="F60" s="49">
        <f t="shared" si="10"/>
        <v>0.5914047443876</v>
      </c>
      <c r="G60" s="49">
        <f t="shared" si="10"/>
        <v>0.253753356022481</v>
      </c>
    </row>
    <row r="61" spans="1:7">
      <c r="A61" s="46" t="s">
        <v>49</v>
      </c>
      <c r="B61" s="47">
        <f t="shared" ref="B61:G61" si="11">(B29-B25)/B29</f>
        <v>0.223519743803169</v>
      </c>
      <c r="C61" s="47">
        <f t="shared" si="11"/>
        <v>0.0495111665895514</v>
      </c>
      <c r="D61" s="41"/>
      <c r="E61" s="46" t="s">
        <v>49</v>
      </c>
      <c r="F61" s="47">
        <f t="shared" si="11"/>
        <v>0.435848660512705</v>
      </c>
      <c r="G61" s="47">
        <f t="shared" si="11"/>
        <v>0.419317176913834</v>
      </c>
    </row>
    <row r="62" spans="1:7">
      <c r="A62" s="46" t="s">
        <v>50</v>
      </c>
      <c r="B62" s="49">
        <f t="shared" ref="B62:G62" si="12">(B29-B27)/B29</f>
        <v>0.233881889874864</v>
      </c>
      <c r="C62" s="49">
        <f t="shared" si="12"/>
        <v>0.0288628285598368</v>
      </c>
      <c r="D62" s="41"/>
      <c r="E62" s="46" t="s">
        <v>50</v>
      </c>
      <c r="F62" s="49">
        <f t="shared" si="12"/>
        <v>0.554933993308473</v>
      </c>
      <c r="G62" s="49">
        <f t="shared" si="12"/>
        <v>0.566616647533821</v>
      </c>
    </row>
    <row r="63" spans="1:7">
      <c r="A63" s="45" t="s">
        <v>56</v>
      </c>
      <c r="B63" s="45"/>
      <c r="C63" s="45"/>
      <c r="D63" s="41"/>
      <c r="E63" s="45" t="s">
        <v>56</v>
      </c>
      <c r="F63" s="45"/>
      <c r="G63" s="45"/>
    </row>
    <row r="64" spans="1:7">
      <c r="A64" s="46" t="s">
        <v>48</v>
      </c>
      <c r="B64" s="49">
        <f t="shared" ref="B64:G64" si="13">(B30-B24)/B30</f>
        <v>0.372032284473553</v>
      </c>
      <c r="C64" s="49">
        <f t="shared" si="13"/>
        <v>0.201356518219466</v>
      </c>
      <c r="D64" s="41"/>
      <c r="E64" s="46" t="s">
        <v>48</v>
      </c>
      <c r="F64" s="49">
        <f t="shared" si="13"/>
        <v>0.564268680157635</v>
      </c>
      <c r="G64" s="49">
        <f t="shared" si="13"/>
        <v>0.470220924826773</v>
      </c>
    </row>
    <row r="65" spans="1:7">
      <c r="A65" s="46" t="s">
        <v>49</v>
      </c>
      <c r="B65" s="47">
        <f t="shared" ref="B65:G65" si="14">(B30-B26)/B30</f>
        <v>0.36359483638262</v>
      </c>
      <c r="C65" s="47">
        <f t="shared" si="14"/>
        <v>0.149675434291048</v>
      </c>
      <c r="D65" s="41"/>
      <c r="E65" s="46" t="s">
        <v>49</v>
      </c>
      <c r="F65" s="47">
        <f t="shared" si="14"/>
        <v>0.499146691461519</v>
      </c>
      <c r="G65" s="47">
        <f t="shared" si="14"/>
        <v>0.616132753777033</v>
      </c>
    </row>
    <row r="66" spans="1:7">
      <c r="A66" s="46" t="s">
        <v>50</v>
      </c>
      <c r="B66" s="49">
        <f t="shared" ref="B66:G66" si="15">(B30-B28)/B30</f>
        <v>0.356306803350656</v>
      </c>
      <c r="C66" s="49">
        <f t="shared" si="15"/>
        <v>0.130437917823972</v>
      </c>
      <c r="D66" s="41"/>
      <c r="E66" s="46" t="s">
        <v>50</v>
      </c>
      <c r="F66" s="49">
        <f t="shared" si="15"/>
        <v>0.5181629526606</v>
      </c>
      <c r="G66" s="49">
        <f t="shared" si="15"/>
        <v>0.623610165817673</v>
      </c>
    </row>
    <row r="67" spans="1:7">
      <c r="A67" s="45" t="s">
        <v>57</v>
      </c>
      <c r="B67" s="45"/>
      <c r="C67" s="45"/>
      <c r="D67" s="41"/>
      <c r="E67" s="45" t="s">
        <v>57</v>
      </c>
      <c r="F67" s="45"/>
      <c r="G67" s="45"/>
    </row>
    <row r="68" spans="1:7">
      <c r="A68" s="46" t="s">
        <v>48</v>
      </c>
      <c r="B68" s="49">
        <f t="shared" ref="B68:G68" si="16">(B30-B23)/B30</f>
        <v>0.371572518449966</v>
      </c>
      <c r="C68" s="49">
        <f t="shared" si="16"/>
        <v>0.201721087219469</v>
      </c>
      <c r="D68" s="41"/>
      <c r="E68" s="46" t="s">
        <v>48</v>
      </c>
      <c r="F68" s="49">
        <f t="shared" si="16"/>
        <v>0.472988317128294</v>
      </c>
      <c r="G68" s="49">
        <f t="shared" si="16"/>
        <v>0.3336410376642</v>
      </c>
    </row>
    <row r="69" spans="1:7">
      <c r="A69" s="46" t="s">
        <v>49</v>
      </c>
      <c r="B69" s="47">
        <f t="shared" ref="B69:G69" si="17">(B30-B25)/B30</f>
        <v>0.346963171258394</v>
      </c>
      <c r="C69" s="47">
        <f t="shared" si="17"/>
        <v>0.148116204359129</v>
      </c>
      <c r="D69" s="41"/>
      <c r="E69" s="46" t="s">
        <v>49</v>
      </c>
      <c r="F69" s="47">
        <f t="shared" si="17"/>
        <v>0.272349977799146</v>
      </c>
      <c r="G69" s="47">
        <f t="shared" si="17"/>
        <v>0.481480812596355</v>
      </c>
    </row>
    <row r="70" spans="1:7">
      <c r="A70" s="51" t="s">
        <v>50</v>
      </c>
      <c r="B70" s="54">
        <f t="shared" ref="B70:G70" si="18">(B30-B27)/B30</f>
        <v>0.355677962079685</v>
      </c>
      <c r="C70" s="54">
        <f t="shared" si="18"/>
        <v>0.12960995372669</v>
      </c>
      <c r="D70" s="41"/>
      <c r="E70" s="51" t="s">
        <v>50</v>
      </c>
      <c r="F70" s="54">
        <f t="shared" si="18"/>
        <v>0.425947849482633</v>
      </c>
      <c r="G70" s="54">
        <f t="shared" si="18"/>
        <v>0.613011484375033</v>
      </c>
    </row>
  </sheetData>
  <mergeCells count="36">
    <mergeCell ref="D1:O1"/>
    <mergeCell ref="D2:G2"/>
    <mergeCell ref="H2:K2"/>
    <mergeCell ref="L2:O2"/>
    <mergeCell ref="A4:C4"/>
    <mergeCell ref="B14:C14"/>
    <mergeCell ref="B15:C15"/>
    <mergeCell ref="B16:C16"/>
    <mergeCell ref="B17:C17"/>
    <mergeCell ref="A19:C19"/>
    <mergeCell ref="E19:G19"/>
    <mergeCell ref="A32:C32"/>
    <mergeCell ref="E32:G32"/>
    <mergeCell ref="A42:C42"/>
    <mergeCell ref="E42:G42"/>
    <mergeCell ref="A44:C44"/>
    <mergeCell ref="E44:G44"/>
    <mergeCell ref="A48:C48"/>
    <mergeCell ref="E48:G48"/>
    <mergeCell ref="A52:C52"/>
    <mergeCell ref="E52:G52"/>
    <mergeCell ref="A57:C57"/>
    <mergeCell ref="E57:G57"/>
    <mergeCell ref="A59:C59"/>
    <mergeCell ref="E59:G59"/>
    <mergeCell ref="A63:C63"/>
    <mergeCell ref="E63:G63"/>
    <mergeCell ref="A67:C67"/>
    <mergeCell ref="E67:G67"/>
    <mergeCell ref="A5:A12"/>
    <mergeCell ref="A14:A17"/>
    <mergeCell ref="B5:B6"/>
    <mergeCell ref="B7:B8"/>
    <mergeCell ref="B9:B10"/>
    <mergeCell ref="B11:B12"/>
    <mergeCell ref="A1:C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C26" sqref="C26"/>
    </sheetView>
  </sheetViews>
  <sheetFormatPr defaultColWidth="9" defaultRowHeight="14" outlineLevelCol="5"/>
  <cols>
    <col min="1" max="3" width="12.75" customWidth="1"/>
    <col min="4" max="4" width="17.375" customWidth="1"/>
    <col min="5" max="5" width="17" customWidth="1"/>
    <col min="6" max="6" width="23.375" customWidth="1"/>
  </cols>
  <sheetData>
    <row r="1" spans="1:6">
      <c r="A1" t="s">
        <v>15</v>
      </c>
      <c r="B1" t="s">
        <v>58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22</v>
      </c>
      <c r="B2" t="s">
        <v>22</v>
      </c>
      <c r="C2">
        <v>0.295221843003413</v>
      </c>
      <c r="D2">
        <v>0.0133297502933823</v>
      </c>
      <c r="E2">
        <v>0.324232081911263</v>
      </c>
      <c r="F2">
        <v>0.0136788103995188</v>
      </c>
    </row>
    <row r="3" spans="1:6">
      <c r="A3" t="s">
        <v>23</v>
      </c>
      <c r="B3" t="s">
        <v>23</v>
      </c>
      <c r="C3">
        <v>0.4061939852619</v>
      </c>
      <c r="D3">
        <v>0.00490117891790084</v>
      </c>
      <c r="E3">
        <v>0.52141007767377</v>
      </c>
      <c r="F3">
        <v>0.00498520476655506</v>
      </c>
    </row>
    <row r="4" spans="1:6">
      <c r="A4" t="s">
        <v>24</v>
      </c>
      <c r="B4" t="s">
        <v>24</v>
      </c>
      <c r="C4">
        <v>0.702393906420022</v>
      </c>
      <c r="D4">
        <v>0.0106673537923882</v>
      </c>
      <c r="E4">
        <v>0.699673558215452</v>
      </c>
      <c r="F4">
        <v>0.0106952253081831</v>
      </c>
    </row>
    <row r="14" spans="1:3">
      <c r="A14" s="2" t="s">
        <v>59</v>
      </c>
      <c r="B14" s="2" t="s">
        <v>31</v>
      </c>
      <c r="C14" s="2" t="s">
        <v>32</v>
      </c>
    </row>
    <row r="15" spans="1:3">
      <c r="A15" s="2"/>
      <c r="B15" s="2"/>
      <c r="C15" s="2" t="s">
        <v>33</v>
      </c>
    </row>
    <row r="16" spans="1:3">
      <c r="A16" s="2"/>
      <c r="B16" s="2" t="s">
        <v>34</v>
      </c>
      <c r="C16" s="2" t="s">
        <v>32</v>
      </c>
    </row>
    <row r="17" spans="1:3">
      <c r="A17" s="2"/>
      <c r="B17" s="2"/>
      <c r="C17" s="2" t="s">
        <v>33</v>
      </c>
    </row>
    <row r="18" spans="1:3">
      <c r="A18" s="2"/>
      <c r="B18" s="2" t="s">
        <v>35</v>
      </c>
      <c r="C18" s="2" t="s">
        <v>32</v>
      </c>
    </row>
    <row r="19" spans="1:3">
      <c r="A19" s="2"/>
      <c r="B19" s="2"/>
      <c r="C19" s="2" t="s">
        <v>33</v>
      </c>
    </row>
    <row r="20" spans="1:3">
      <c r="A20" s="2"/>
      <c r="B20" s="2" t="s">
        <v>36</v>
      </c>
      <c r="C20" s="2" t="s">
        <v>32</v>
      </c>
    </row>
    <row r="21" spans="1:3">
      <c r="A21" s="2"/>
      <c r="B21" s="2"/>
      <c r="C21" s="2" t="s">
        <v>33</v>
      </c>
    </row>
  </sheetData>
  <mergeCells count="5">
    <mergeCell ref="A14:A21"/>
    <mergeCell ref="B14:B15"/>
    <mergeCell ref="B16:B17"/>
    <mergeCell ref="B18:B19"/>
    <mergeCell ref="B20:B2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E21" sqref="E21"/>
    </sheetView>
  </sheetViews>
  <sheetFormatPr defaultColWidth="9" defaultRowHeight="14"/>
  <cols>
    <col min="1" max="1" width="57" customWidth="1"/>
    <col min="2" max="2" width="12.75" customWidth="1"/>
    <col min="3" max="3" width="17.375" customWidth="1"/>
    <col min="4" max="4" width="17" customWidth="1"/>
    <col min="5" max="5" width="23.375" customWidth="1"/>
    <col min="6" max="6" width="12.75" customWidth="1"/>
    <col min="7" max="7" width="19.125" customWidth="1"/>
    <col min="8" max="8" width="18.625" customWidth="1"/>
    <col min="9" max="9" width="25" customWidth="1"/>
    <col min="10" max="10" width="12.75" customWidth="1"/>
    <col min="11" max="11" width="19.125" customWidth="1"/>
    <col min="12" max="12" width="18.625" customWidth="1"/>
    <col min="13" max="13" width="25" customWidth="1"/>
  </cols>
  <sheetData>
    <row r="1" spans="1:13">
      <c r="A1" t="s">
        <v>1</v>
      </c>
      <c r="B1" t="s">
        <v>25</v>
      </c>
      <c r="C1" t="s">
        <v>26</v>
      </c>
      <c r="D1" t="s">
        <v>27</v>
      </c>
      <c r="E1" t="s">
        <v>28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 spans="1:13">
      <c r="A2" s="1" t="s">
        <v>68</v>
      </c>
      <c r="B2">
        <v>0.295221843003413</v>
      </c>
      <c r="C2">
        <v>0.0133297502933823</v>
      </c>
      <c r="D2">
        <v>0.324232081911263</v>
      </c>
      <c r="E2">
        <v>0.0136788103995188</v>
      </c>
      <c r="F2">
        <v>0.405994821748656</v>
      </c>
      <c r="G2">
        <v>0.00490079886804813</v>
      </c>
      <c r="H2">
        <v>0.521708822943637</v>
      </c>
      <c r="I2">
        <v>0.00498507609446476</v>
      </c>
      <c r="J2">
        <v>0.70076169749728</v>
      </c>
      <c r="K2">
        <v>0.0106841306731346</v>
      </c>
      <c r="L2">
        <v>0.699129488574537</v>
      </c>
      <c r="M2">
        <v>0.010700745724146</v>
      </c>
    </row>
    <row r="3" spans="1:13">
      <c r="A3" s="1" t="s">
        <v>69</v>
      </c>
      <c r="B3">
        <v>0.295221843003413</v>
      </c>
      <c r="C3">
        <v>0.0133297502933823</v>
      </c>
      <c r="D3">
        <v>0.324232081911263</v>
      </c>
      <c r="E3">
        <v>0.0136788103995188</v>
      </c>
      <c r="F3">
        <v>0.4061939852619</v>
      </c>
      <c r="G3">
        <v>0.00490117891790084</v>
      </c>
      <c r="H3">
        <v>0.52141007767377</v>
      </c>
      <c r="I3">
        <v>0.00498520476655506</v>
      </c>
      <c r="J3">
        <v>0.702393906420022</v>
      </c>
      <c r="K3">
        <v>0.0106673537923882</v>
      </c>
      <c r="L3">
        <v>0.699673558215452</v>
      </c>
      <c r="M3">
        <v>0.0106952253081831</v>
      </c>
    </row>
    <row r="4" spans="1:13">
      <c r="A4" s="1" t="s">
        <v>70</v>
      </c>
      <c r="B4">
        <v>0.278156996587031</v>
      </c>
      <c r="C4">
        <v>0.0130944699195388</v>
      </c>
      <c r="D4">
        <v>0.341296928327645</v>
      </c>
      <c r="E4">
        <v>0.0138558312874977</v>
      </c>
      <c r="F4">
        <v>0.391953794064927</v>
      </c>
      <c r="G4">
        <v>0.00487188742289358</v>
      </c>
      <c r="H4">
        <v>0.498107946624178</v>
      </c>
      <c r="I4">
        <v>0.00498974568582043</v>
      </c>
      <c r="J4">
        <v>0.689880304678999</v>
      </c>
      <c r="K4">
        <v>0.010791876566843</v>
      </c>
      <c r="L4">
        <v>0.695321001088139</v>
      </c>
      <c r="M4">
        <v>0.0107388890443252</v>
      </c>
    </row>
    <row r="5" spans="1:13">
      <c r="A5" s="1" t="s">
        <v>71</v>
      </c>
      <c r="B5">
        <v>0.277303754266212</v>
      </c>
      <c r="C5">
        <v>0.0130820958390594</v>
      </c>
      <c r="D5">
        <v>0.342150170648464</v>
      </c>
      <c r="E5">
        <v>0.0138641521591773</v>
      </c>
      <c r="F5">
        <v>0.391555467038439</v>
      </c>
      <c r="G5">
        <v>0.00487100593940747</v>
      </c>
      <c r="H5">
        <v>0.498406691894045</v>
      </c>
      <c r="I5">
        <v>0.00498975607695635</v>
      </c>
      <c r="J5">
        <v>0.691512513601741</v>
      </c>
      <c r="K5">
        <v>0.0107761646780372</v>
      </c>
      <c r="L5">
        <v>0.696409140369967</v>
      </c>
      <c r="M5">
        <v>0.0107280798930764</v>
      </c>
    </row>
    <row r="6" spans="1:13">
      <c r="A6" s="1" t="s">
        <v>72</v>
      </c>
      <c r="B6">
        <v>0.284129692832765</v>
      </c>
      <c r="C6">
        <v>0.0131794424476539</v>
      </c>
      <c r="D6">
        <v>0.308873720136519</v>
      </c>
      <c r="E6">
        <v>0.013501770929344</v>
      </c>
      <c r="F6">
        <v>0.389165504879506</v>
      </c>
      <c r="G6">
        <v>0.00486564548591042</v>
      </c>
      <c r="H6">
        <v>0.493228440549691</v>
      </c>
      <c r="I6">
        <v>0.00498932378741351</v>
      </c>
      <c r="J6">
        <v>0.693144722524483</v>
      </c>
      <c r="K6">
        <v>0.0107602950705804</v>
      </c>
      <c r="L6">
        <v>0.690424374319913</v>
      </c>
      <c r="M6">
        <v>0.0107866567521833</v>
      </c>
    </row>
    <row r="7" spans="1:13">
      <c r="A7" s="1" t="s">
        <v>73</v>
      </c>
      <c r="B7">
        <v>0.282423208191126</v>
      </c>
      <c r="C7">
        <v>0.0131554568840972</v>
      </c>
      <c r="D7">
        <v>0.310580204778157</v>
      </c>
      <c r="E7">
        <v>0.0135222920980531</v>
      </c>
      <c r="F7">
        <v>0.389165504879506</v>
      </c>
      <c r="G7">
        <v>0.00486564548591042</v>
      </c>
      <c r="H7">
        <v>0.493726349332802</v>
      </c>
      <c r="I7">
        <v>0.00498938861343881</v>
      </c>
      <c r="J7">
        <v>0.693144722524483</v>
      </c>
      <c r="K7">
        <v>0.0107602950705804</v>
      </c>
      <c r="L7">
        <v>0.689880304678999</v>
      </c>
      <c r="M7">
        <v>0.010791876566843</v>
      </c>
    </row>
    <row r="8" spans="1:13">
      <c r="A8" s="1" t="s">
        <v>74</v>
      </c>
      <c r="B8">
        <v>0.307167235494881</v>
      </c>
      <c r="C8">
        <v>0.0134810340549809</v>
      </c>
      <c r="D8">
        <v>0.340443686006826</v>
      </c>
      <c r="E8">
        <v>0.013847460518893</v>
      </c>
      <c r="F8">
        <v>0.405994821748656</v>
      </c>
      <c r="G8">
        <v>0.00490079886804813</v>
      </c>
      <c r="H8">
        <v>0.523999203345947</v>
      </c>
      <c r="I8">
        <v>0.0049840302505073</v>
      </c>
      <c r="J8">
        <v>0.70348204570185</v>
      </c>
      <c r="K8">
        <v>0.0106560789226611</v>
      </c>
      <c r="L8">
        <v>0.701305767138194</v>
      </c>
      <c r="M8">
        <v>0.0106785563981492</v>
      </c>
    </row>
    <row r="9" spans="1:13">
      <c r="A9" s="1" t="s">
        <v>75</v>
      </c>
      <c r="B9">
        <v>0.307167235494881</v>
      </c>
      <c r="C9">
        <v>0.0134810340549809</v>
      </c>
      <c r="D9">
        <v>0.340443686006826</v>
      </c>
      <c r="E9">
        <v>0.013847460518893</v>
      </c>
      <c r="F9">
        <v>0.405496912965545</v>
      </c>
      <c r="G9">
        <v>0.00489984508718311</v>
      </c>
      <c r="H9">
        <v>0.523899621589325</v>
      </c>
      <c r="I9">
        <v>0.0049840779062161</v>
      </c>
      <c r="J9">
        <v>0.704570184983678</v>
      </c>
      <c r="K9">
        <v>0.0106447315593425</v>
      </c>
      <c r="L9">
        <v>0.701849836779108</v>
      </c>
      <c r="M9">
        <v>0.0106729641140083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E11E6-F243-46CB-966E-DBCB76DC93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Prompt_long (3)</vt:lpstr>
      <vt:lpstr>Prompt_long (2)</vt:lpstr>
      <vt:lpstr>Sheet1</vt:lpstr>
      <vt:lpstr>Column1</vt:lpstr>
      <vt:lpstr>Prompt_long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金涛 王</dc:creator>
  <cp:lastModifiedBy>AMark</cp:lastModifiedBy>
  <dcterms:created xsi:type="dcterms:W3CDTF">2024-12-29T13:06:00Z</dcterms:created>
  <dcterms:modified xsi:type="dcterms:W3CDTF">2024-12-30T14:13:44Z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5DE04192056245A48930C2281BE62CC5_12</vt:lpwstr>
  </property>
</Properties>
</file>
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学\大三\机器学习\课设\"/>
    </mc:Choice>
  </mc:AlternateContent>
  <xr:revisionPtr revIDLastSave="0" documentId="13_ncr:1_{A16695F8-44BA-4ADA-93B3-3A464C2F6F5C}" xr6:coauthVersionLast="47" xr6:coauthVersionMax="47" xr10:uidLastSave="{00000000-0000-0000-0000-000000000000}"/>
  <bookViews>
    <workbookView xWindow="-120" yWindow="-120" windowWidth="29040" windowHeight="15720" activeTab="2" xr2:uid="{D23E14FA-05DF-424E-B7C2-EDE9A1B0D93D}"/>
  </bookViews>
  <sheets>
    <sheet name="Prompt_long (3)" sheetId="8" r:id="rId1"/>
    <sheet name="Prompt_long (2)" sheetId="6" r:id="rId2"/>
    <sheet name="Sheet1" sheetId="1" r:id="rId3"/>
    <sheet name="Column1" sheetId="3" r:id="rId4"/>
    <sheet name="Prompt_long" sheetId="4" r:id="rId5"/>
  </sheets>
  <definedNames>
    <definedName name="ExternalData_1" localSheetId="4" hidden="1">Prompt_long!$A$1:$M$9</definedName>
    <definedName name="ExternalData_1" localSheetId="1" hidden="1">'Prompt_long (2)'!$A$1:$C$25</definedName>
    <definedName name="ExternalData_2" localSheetId="3" hidden="1">'Column1'!$A$1:$F$4</definedName>
    <definedName name="ExternalData_2" localSheetId="0" hidden="1">'Prompt_long (3)'!$A$1:$C$25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F33" i="1"/>
  <c r="F32" i="1"/>
  <c r="F31" i="1"/>
  <c r="F30" i="1"/>
  <c r="C33" i="1"/>
  <c r="B33" i="1"/>
  <c r="C32" i="1"/>
  <c r="B32" i="1"/>
  <c r="C31" i="1"/>
  <c r="B31" i="1"/>
  <c r="C30" i="1"/>
  <c r="B30" i="1"/>
  <c r="E17" i="1"/>
  <c r="F17" i="1"/>
  <c r="G17" i="1"/>
  <c r="H17" i="1"/>
  <c r="I17" i="1"/>
  <c r="J17" i="1"/>
  <c r="K17" i="1"/>
  <c r="L17" i="1"/>
  <c r="M17" i="1"/>
  <c r="N17" i="1"/>
  <c r="O17" i="1"/>
  <c r="E16" i="1"/>
  <c r="F16" i="1"/>
  <c r="G16" i="1"/>
  <c r="H16" i="1"/>
  <c r="I16" i="1"/>
  <c r="J16" i="1"/>
  <c r="K16" i="1"/>
  <c r="L16" i="1"/>
  <c r="M16" i="1"/>
  <c r="N16" i="1"/>
  <c r="O16" i="1"/>
  <c r="D17" i="1"/>
  <c r="D16" i="1"/>
  <c r="E15" i="1"/>
  <c r="F15" i="1"/>
  <c r="G15" i="1"/>
  <c r="H15" i="1"/>
  <c r="I15" i="1"/>
  <c r="J15" i="1"/>
  <c r="K15" i="1"/>
  <c r="L15" i="1"/>
  <c r="M15" i="1"/>
  <c r="N15" i="1"/>
  <c r="O15" i="1"/>
  <c r="D15" i="1"/>
  <c r="E14" i="1"/>
  <c r="F14" i="1"/>
  <c r="G14" i="1"/>
  <c r="H14" i="1"/>
  <c r="I14" i="1"/>
  <c r="J14" i="1"/>
  <c r="K14" i="1"/>
  <c r="L14" i="1"/>
  <c r="M14" i="1"/>
  <c r="N14" i="1"/>
  <c r="O14" i="1"/>
  <c r="D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7FB93-FE72-4246-9478-1EF60BF97208}" keepAlive="1" name="查询 - Prompt_long" description="与工作簿中“Prompt_long”查询的连接。" type="5" refreshedVersion="8" background="1" saveData="1">
    <dbPr connection="Provider=Microsoft.Mashup.OleDb.1;Data Source=$Workbook$;Location=Prompt_long;Extended Properties=&quot;&quot;" command="SELECT * FROM [Prompt_long]"/>
  </connection>
  <connection id="2" xr16:uid="{B883C435-3AAF-4E86-8E1E-3A14D59920F6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1F8D5FBA-B62D-429F-80D9-B997A0CCACB4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6313A104-8F8D-44D9-9214-E82AABD872EE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E8459108-773F-412F-8114-D498D648815E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<sst xmlns="http://schemas.openxmlformats.org/spreadsheetml/2006/main" count="275" uniqueCount="69">
  <si>
    <t>Name</t>
  </si>
  <si>
    <t>Value</t>
  </si>
  <si>
    <t>alias</t>
  </si>
  <si>
    <t>arc_challenge</t>
  </si>
  <si>
    <t>acc,none</t>
  </si>
  <si>
    <t>acc_stderr,none</t>
  </si>
  <si>
    <t>acc_norm,none</t>
  </si>
  <si>
    <t>acc_norm_stderr,none</t>
  </si>
  <si>
    <t>Column1</t>
  </si>
  <si>
    <t>hellaswag</t>
  </si>
  <si>
    <t>piqa</t>
  </si>
  <si>
    <t>results</t>
    <phoneticPr fontId="2" type="noConversion"/>
  </si>
  <si>
    <t>arc_challenge</t>
    <phoneticPr fontId="2" type="noConversion"/>
  </si>
  <si>
    <t>hellaswag</t>
    <phoneticPr fontId="2" type="noConversion"/>
  </si>
  <si>
    <t>piqa</t>
    <phoneticPr fontId="2" type="noConversion"/>
  </si>
  <si>
    <t>offcial</t>
    <phoneticPr fontId="2" type="noConversion"/>
  </si>
  <si>
    <t>acc,none</t>
    <phoneticPr fontId="2" type="noConversion"/>
  </si>
  <si>
    <t>acc_stderr,none</t>
    <phoneticPr fontId="2" type="noConversion"/>
  </si>
  <si>
    <t>acc_norm,none</t>
    <phoneticPr fontId="2" type="noConversion"/>
  </si>
  <si>
    <t>acc_norm_stderr,none</t>
    <phoneticPr fontId="2" type="noConversion"/>
  </si>
  <si>
    <t>Prompt_long</t>
    <phoneticPr fontId="2" type="noConversion"/>
  </si>
  <si>
    <t>Prompt_Short</t>
    <phoneticPr fontId="2" type="noConversion"/>
  </si>
  <si>
    <t>Qwen2.5-0.5B</t>
  </si>
  <si>
    <t>Qwen2.5-0.5B</t>
    <phoneticPr fontId="2" type="noConversion"/>
  </si>
  <si>
    <t>Qwen2.5-0.5B-Instruct-AWQ</t>
  </si>
  <si>
    <t>Qwen2.5-0.5B-Instruct-AWQ</t>
    <phoneticPr fontId="2" type="noConversion"/>
  </si>
  <si>
    <t>Qwen2.5-0.5B-Instruct-GPTQ-Int4</t>
  </si>
  <si>
    <t>Qwen2.5-0.5B-Instruct-GPTQ-Int4</t>
    <phoneticPr fontId="2" type="noConversion"/>
  </si>
  <si>
    <t>Qwen2.5-0.5B-Instruct-GPTQ-Int8</t>
  </si>
  <si>
    <t>Qwen2.5-0.5B-Instruct-GPTQ-Int8</t>
    <phoneticPr fontId="2" type="noConversion"/>
  </si>
  <si>
    <t>flash</t>
    <phoneticPr fontId="2" type="noConversion"/>
  </si>
  <si>
    <t>origin</t>
    <phoneticPr fontId="2" type="noConversion"/>
  </si>
  <si>
    <t>acc,none.1</t>
  </si>
  <si>
    <t>acc_stderr,none.1</t>
  </si>
  <si>
    <t>acc_norm,none.1</t>
  </si>
  <si>
    <t>acc_norm_stderr,none.1</t>
  </si>
  <si>
    <t>acc,none.2</t>
  </si>
  <si>
    <t>acc_stderr,none.2</t>
  </si>
  <si>
    <t>acc_norm,none.2</t>
  </si>
  <si>
    <t>acc_norm_stderr,none.2</t>
  </si>
  <si>
    <t>results_Prompt_long_Qwen2.5-0.5B_flash</t>
  </si>
  <si>
    <t>results_Prompt_long_Qwen2.5-0.5B_origin</t>
  </si>
  <si>
    <t>results_Prpompt_long_Qwen2.5-0.5B-Instruct-AWQ_flash</t>
  </si>
  <si>
    <t>results_Prpompt_long_Qwen2.5-0.5B-Instruct-AWQ_origin</t>
  </si>
  <si>
    <t>results_Prpompt_long_Qwen2.5-0.5B-Instruct-GPTQ-Int4_flash</t>
  </si>
  <si>
    <t>results_Prompt_long_Qwen2.5-0.5B-Instruct-GPTQ-Int4_origin</t>
  </si>
  <si>
    <t>results_Prompt_long_Qwen2.5-0.5B-Instruct-GPTQ-Int8_flash</t>
  </si>
  <si>
    <t>results_Prompt_long_Qwen2.5-0.5B-Instruct-GPTQ-Int8_origin</t>
  </si>
  <si>
    <t>flash VS origin</t>
    <phoneticPr fontId="2" type="noConversion"/>
  </si>
  <si>
    <t>memory_results.json</t>
  </si>
  <si>
    <t>throughput_results.json</t>
  </si>
  <si>
    <t>Column2</t>
  </si>
  <si>
    <t>Column3</t>
  </si>
  <si>
    <t>name</t>
  </si>
  <si>
    <t>Qwen2.5-0.5B_flash</t>
  </si>
  <si>
    <t>max_rss</t>
  </si>
  <si>
    <t>max_vms</t>
  </si>
  <si>
    <t>Qwen2.5-0.5B_origin</t>
  </si>
  <si>
    <t>Qwen2.5-0.5B-AWQ_flash</t>
  </si>
  <si>
    <t>Qwen2.5-0.5B-AWQ_origin</t>
  </si>
  <si>
    <t>Qwen2.5-0.5B-In4_flash</t>
  </si>
  <si>
    <t>Qwen2.5-0.5B-In4_origin</t>
  </si>
  <si>
    <t>Qwen2.5-0.5B-In8_flash</t>
  </si>
  <si>
    <t>Qwen2.5-0.5B-In8_origin</t>
  </si>
  <si>
    <t>memory_results</t>
    <phoneticPr fontId="2" type="noConversion"/>
  </si>
  <si>
    <t>Source.Name</t>
  </si>
  <si>
    <t>prefill_throughput</t>
  </si>
  <si>
    <t>decode_throughput</t>
  </si>
  <si>
    <t>throughput_result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</si>
</sst>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1">
      <alignment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 applyNumberFormat="1">
      <alignment vertical="center"/>
    </xf>
    <xf numFmtId="10" fontId="1" fillId="2" borderId="1" xfId="1" applyNumberFormat="1">
      <alignment vertical="center"/>
    </xf>
    <xf numFmtId="0" fontId="0" fillId="3" borderId="2" xfId="0" applyFont="1" applyFill="1" applyBorder="1">
      <alignment vertical="center"/>
    </xf>
    <xf numFmtId="0" fontId="0" fillId="3" borderId="3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3" borderId="2" xfId="0" applyNumberFormat="1" applyFont="1" applyFill="1" applyBorder="1">
      <alignment vertical="center"/>
    </xf>
    <xf numFmtId="0" fontId="0" fillId="0" borderId="2" xfId="0" applyNumberFormat="1" applyFont="1" applyBorder="1">
      <alignment vertical="center"/>
    </xf>
    <xf numFmtId="0" fontId="1" fillId="2" borderId="1" xfId="1" applyNumberFormat="1">
      <alignment vertical="center"/>
    </xf>
    <xf numFmtId="0" fontId="1" fillId="2" borderId="1" xfId="1" applyAlignment="1">
      <alignment vertical="center"/>
    </xf>
  </cellXfs>
  <cellStyles count="2">
    <cellStyle name="常规" xfId="0" builtinId="0"/>
    <cellStyle name="输出" xfId="1" builtinId="2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01FF84F-C999-4C73-A72C-374BFBDAF5A8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Nam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A89535-BB70-4030-A634-AB7B38EB6C71}" name="Prompt_long_2" displayName="Prompt_long_2" ref="A1:C25" tableType="queryTable" totalsRowShown="0">
  <autoFilter ref="A1:C25" xr:uid="{25A89535-BB70-4030-A634-AB7B38EB6C71}"/>
  <tableColumns count="3">
    <tableColumn id="1" xr3:uid="{D31E0129-6723-479E-9DDE-5408BAFDB8F3}" uniqueName="1" name="Source.Name" queryTableFieldId="1" dataDxfId="1"/>
    <tableColumn id="2" xr3:uid="{EDE8C7A0-F5E9-49B7-AF33-B6F4C7EECEDA}" uniqueName="2" name="Name" queryTableFieldId="2" dataDxfId="0"/>
    <tableColumn id="3" xr3:uid="{FF4571AC-EBC3-4E0E-941A-6CF54189A152}" uniqueName="3" name="Value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DABEA3-D539-4A7F-B9B5-57D7E463BE43}" name="Prompt_long_1" displayName="Prompt_long_1" ref="A1:C25" totalsRowShown="0">
  <autoFilter ref="A1:C25" xr:uid="{DADABEA3-D539-4A7F-B9B5-57D7E463BE43}"/>
  <tableColumns count="3">
    <tableColumn id="1" xr3:uid="{03DDF9F1-7747-435B-B5CC-84470593E350}" name="Column1"/>
    <tableColumn id="2" xr3:uid="{75C72366-A650-4A46-8C9F-20D83472DBE1}" name="Column2"/>
    <tableColumn id="3" xr3:uid="{8A25145D-A1DE-43D1-AE76-36EF03B7207F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1CCFC0-7381-470B-B618-720A83BE9278}" name="Column1" displayName="Column1" ref="A1:F4" totalsRowShown="0">
  <autoFilter ref="A1:F4" xr:uid="{AB1CCFC0-7381-470B-B618-720A83BE9278}"/>
  <tableColumns count="6">
    <tableColumn id="1" xr3:uid="{15AA892C-5DF7-474E-9F6F-9A65E59B39C3}" name="Column1"/>
    <tableColumn id="2" xr3:uid="{10F2C4D9-22E7-4AC7-AC57-6907A7FE277D}" name="alias"/>
    <tableColumn id="3" xr3:uid="{3110F8AB-3C09-4E8F-8366-C9C1C49DFB61}" name="acc,none"/>
    <tableColumn id="4" xr3:uid="{8DF908F4-1194-432E-9AD6-F4536DBB9863}" name="acc_stderr,none"/>
    <tableColumn id="5" xr3:uid="{90B01F3C-72BA-441D-870D-77D42358200B}" name="acc_norm,none"/>
    <tableColumn id="6" xr3:uid="{083BA0C3-E1E6-476E-81FB-80CB5BBED70C}" name="acc_norm_stderr,non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60873B-507D-4A7B-8854-89E2183335C7}" name="Prompt_long" displayName="Prompt_long" ref="A1:M9" totalsRowShown="0">
  <autoFilter ref="A1:M9" xr:uid="{F760873B-507D-4A7B-8854-89E2183335C7}"/>
  <tableColumns count="13">
    <tableColumn id="1" xr3:uid="{8B914530-B068-4435-947A-94608657A737}" name="Name" dataDxfId="2"/>
    <tableColumn id="2" xr3:uid="{CFE2CDA6-A5D0-46A2-8811-4F00DFEEC0DA}" name="acc,none"/>
    <tableColumn id="3" xr3:uid="{20A71846-D9B3-469D-B5E9-E2B450F11B3E}" name="acc_stderr,none"/>
    <tableColumn id="4" xr3:uid="{D075DEE8-5FD4-412B-84E4-646274A00DA8}" name="acc_norm,none"/>
    <tableColumn id="5" xr3:uid="{92A8C882-5C5D-4AD7-919C-1427508B13F4}" name="acc_norm_stderr,none"/>
    <tableColumn id="6" xr3:uid="{B697ABD9-C72C-47D3-AE7F-77931495D89D}" name="acc,none.1"/>
    <tableColumn id="7" xr3:uid="{BF9C17FA-47A0-4BE7-94C8-C49D6FB2641A}" name="acc_stderr,none.1"/>
    <tableColumn id="8" xr3:uid="{6CA90400-32AF-4A65-9EBB-4E11C6F96053}" name="acc_norm,none.1"/>
    <tableColumn id="9" xr3:uid="{6915CF91-B5F7-4733-82DC-AB337FEDD001}" name="acc_norm_stderr,none.1"/>
    <tableColumn id="10" xr3:uid="{5545D2DC-2FA0-470C-8881-7955FDF113E2}" name="acc,none.2"/>
    <tableColumn id="11" xr3:uid="{E19FDEFD-3FAD-48CC-9C1E-8AC0D1829CE5}" name="acc_stderr,none.2"/>
    <tableColumn id="12" xr3:uid="{3204BB61-293F-4667-9F93-2881244A84EB}" name="acc_norm,none.2"/>
    <tableColumn id="13" xr3:uid="{F35F6E81-B60A-432D-81EB-58C6055C8AE0}" name="acc_norm_stderr,none.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7AD8-5B00-47E7-A554-A8B87368FDB3}">
  <dimension ref="A1:AB25"/>
  <sheetViews>
    <sheetView topLeftCell="C1" zoomScale="115" zoomScaleNormal="115" workbookViewId="0">
      <selection activeCell="E2" sqref="E2:G10"/>
    </sheetView>
  </sheetViews>
  <sheetFormatPr defaultRowHeight="14.25" x14ac:dyDescent="0.2"/>
  <cols>
    <col min="1" max="1" width="21.375" bestFit="1" customWidth="1"/>
    <col min="2" max="2" width="18.625" bestFit="1" customWidth="1"/>
    <col min="3" max="3" width="25.25" bestFit="1" customWidth="1"/>
    <col min="5" max="5" width="35.125" customWidth="1"/>
    <col min="6" max="6" width="21.875" customWidth="1"/>
    <col min="7" max="7" width="21.5" customWidth="1"/>
  </cols>
  <sheetData>
    <row r="1" spans="1:28" x14ac:dyDescent="0.2">
      <c r="A1" t="s">
        <v>65</v>
      </c>
      <c r="B1" t="s">
        <v>0</v>
      </c>
      <c r="C1" t="s">
        <v>1</v>
      </c>
    </row>
    <row r="2" spans="1:28" x14ac:dyDescent="0.2">
      <c r="A2" s="4" t="s">
        <v>50</v>
      </c>
      <c r="B2" s="4" t="s">
        <v>53</v>
      </c>
      <c r="C2" t="s">
        <v>54</v>
      </c>
      <c r="E2" s="10" t="s">
        <v>53</v>
      </c>
      <c r="F2" s="11" t="s">
        <v>66</v>
      </c>
      <c r="G2" s="10" t="s">
        <v>67</v>
      </c>
      <c r="H2" s="11" t="s">
        <v>53</v>
      </c>
      <c r="I2" s="10" t="s">
        <v>66</v>
      </c>
      <c r="J2" s="11" t="s">
        <v>67</v>
      </c>
      <c r="K2" s="10" t="s">
        <v>53</v>
      </c>
      <c r="L2" s="11" t="s">
        <v>66</v>
      </c>
      <c r="M2" s="10" t="s">
        <v>67</v>
      </c>
      <c r="N2" s="11" t="s">
        <v>53</v>
      </c>
      <c r="O2" s="10" t="s">
        <v>66</v>
      </c>
      <c r="P2" s="11" t="s">
        <v>67</v>
      </c>
      <c r="Q2" s="10" t="s">
        <v>53</v>
      </c>
      <c r="R2" s="11" t="s">
        <v>66</v>
      </c>
      <c r="S2" s="10" t="s">
        <v>67</v>
      </c>
      <c r="T2" s="11" t="s">
        <v>53</v>
      </c>
      <c r="U2" s="10" t="s">
        <v>66</v>
      </c>
      <c r="V2" s="11" t="s">
        <v>67</v>
      </c>
      <c r="W2" s="10" t="s">
        <v>53</v>
      </c>
      <c r="X2" s="11" t="s">
        <v>66</v>
      </c>
      <c r="Y2" s="10" t="s">
        <v>67</v>
      </c>
      <c r="Z2" s="11" t="s">
        <v>53</v>
      </c>
      <c r="AA2" s="10" t="s">
        <v>66</v>
      </c>
      <c r="AB2" s="11" t="s">
        <v>67</v>
      </c>
    </row>
    <row r="3" spans="1:28" x14ac:dyDescent="0.2">
      <c r="A3" s="4" t="s">
        <v>50</v>
      </c>
      <c r="B3" s="4" t="s">
        <v>66</v>
      </c>
      <c r="C3">
        <v>5934.0002991240517</v>
      </c>
      <c r="E3" s="7" t="s">
        <v>54</v>
      </c>
      <c r="F3" s="9">
        <v>5934.0002991240517</v>
      </c>
      <c r="G3" s="7">
        <v>30.334724704770647</v>
      </c>
    </row>
    <row r="4" spans="1:28" x14ac:dyDescent="0.2">
      <c r="A4" s="4" t="s">
        <v>50</v>
      </c>
      <c r="B4" s="4" t="s">
        <v>67</v>
      </c>
      <c r="C4">
        <v>30.334724704770647</v>
      </c>
      <c r="E4" s="9" t="s">
        <v>57</v>
      </c>
      <c r="F4" s="7">
        <v>9669.1486015857208</v>
      </c>
      <c r="G4" s="9">
        <v>44.934065270559103</v>
      </c>
    </row>
    <row r="5" spans="1:28" x14ac:dyDescent="0.2">
      <c r="A5" s="4" t="s">
        <v>50</v>
      </c>
      <c r="B5" s="4" t="s">
        <v>53</v>
      </c>
      <c r="C5" t="s">
        <v>57</v>
      </c>
      <c r="E5" s="7" t="s">
        <v>58</v>
      </c>
      <c r="F5" s="9">
        <v>4566.7768433070414</v>
      </c>
      <c r="G5" s="7">
        <v>27.813175373020659</v>
      </c>
    </row>
    <row r="6" spans="1:28" x14ac:dyDescent="0.2">
      <c r="A6" s="4" t="s">
        <v>50</v>
      </c>
      <c r="B6" s="4" t="s">
        <v>66</v>
      </c>
      <c r="C6">
        <v>9669.1486015857208</v>
      </c>
      <c r="E6" s="9" t="s">
        <v>59</v>
      </c>
      <c r="F6" s="7">
        <v>3775.7942869819417</v>
      </c>
      <c r="G6" s="9">
        <v>22.112463641367359</v>
      </c>
    </row>
    <row r="7" spans="1:28" x14ac:dyDescent="0.2">
      <c r="A7" s="4" t="s">
        <v>50</v>
      </c>
      <c r="B7" s="4" t="s">
        <v>67</v>
      </c>
      <c r="C7">
        <v>44.934065270559103</v>
      </c>
      <c r="E7" s="7" t="s">
        <v>60</v>
      </c>
      <c r="F7" s="9">
        <v>6305.3920423765167</v>
      </c>
      <c r="G7" s="7">
        <v>21.64248687071187</v>
      </c>
    </row>
    <row r="8" spans="1:28" x14ac:dyDescent="0.2">
      <c r="A8" s="4" t="s">
        <v>50</v>
      </c>
      <c r="B8" s="4" t="s">
        <v>53</v>
      </c>
      <c r="C8" t="s">
        <v>58</v>
      </c>
      <c r="E8" s="9" t="s">
        <v>61</v>
      </c>
      <c r="F8" s="7">
        <v>4340.1035796089936</v>
      </c>
      <c r="G8" s="9">
        <v>16.022245730338973</v>
      </c>
    </row>
    <row r="9" spans="1:28" x14ac:dyDescent="0.2">
      <c r="A9" s="4" t="s">
        <v>50</v>
      </c>
      <c r="B9" s="4" t="s">
        <v>66</v>
      </c>
      <c r="C9">
        <v>4566.7768433070414</v>
      </c>
      <c r="E9" s="7" t="s">
        <v>62</v>
      </c>
      <c r="F9" s="9">
        <v>4974.402186965378</v>
      </c>
      <c r="G9" s="7">
        <v>16.152524481239237</v>
      </c>
    </row>
    <row r="10" spans="1:28" x14ac:dyDescent="0.2">
      <c r="A10" s="4" t="s">
        <v>50</v>
      </c>
      <c r="B10" s="4" t="s">
        <v>67</v>
      </c>
      <c r="C10">
        <v>27.813175373020659</v>
      </c>
      <c r="E10" s="9" t="s">
        <v>63</v>
      </c>
      <c r="F10" s="7">
        <v>4175.3197159628844</v>
      </c>
      <c r="G10" s="9">
        <v>15.710145819963916</v>
      </c>
    </row>
    <row r="11" spans="1:28" x14ac:dyDescent="0.2">
      <c r="A11" s="4" t="s">
        <v>50</v>
      </c>
      <c r="B11" s="4" t="s">
        <v>53</v>
      </c>
      <c r="C11" t="s">
        <v>59</v>
      </c>
    </row>
    <row r="12" spans="1:28" x14ac:dyDescent="0.2">
      <c r="A12" s="4" t="s">
        <v>50</v>
      </c>
      <c r="B12" s="4" t="s">
        <v>66</v>
      </c>
      <c r="C12">
        <v>3775.7942869819417</v>
      </c>
    </row>
    <row r="13" spans="1:28" x14ac:dyDescent="0.2">
      <c r="A13" s="4" t="s">
        <v>50</v>
      </c>
      <c r="B13" s="4" t="s">
        <v>67</v>
      </c>
      <c r="C13">
        <v>22.112463641367359</v>
      </c>
    </row>
    <row r="14" spans="1:28" x14ac:dyDescent="0.2">
      <c r="A14" s="4" t="s">
        <v>50</v>
      </c>
      <c r="B14" s="4" t="s">
        <v>53</v>
      </c>
      <c r="C14" t="s">
        <v>60</v>
      </c>
    </row>
    <row r="15" spans="1:28" x14ac:dyDescent="0.2">
      <c r="A15" s="4" t="s">
        <v>50</v>
      </c>
      <c r="B15" s="4" t="s">
        <v>66</v>
      </c>
      <c r="C15">
        <v>6305.3920423765167</v>
      </c>
    </row>
    <row r="16" spans="1:28" x14ac:dyDescent="0.2">
      <c r="A16" s="4" t="s">
        <v>50</v>
      </c>
      <c r="B16" s="4" t="s">
        <v>67</v>
      </c>
      <c r="C16">
        <v>21.64248687071187</v>
      </c>
    </row>
    <row r="17" spans="1:3" x14ac:dyDescent="0.2">
      <c r="A17" s="4" t="s">
        <v>50</v>
      </c>
      <c r="B17" s="4" t="s">
        <v>53</v>
      </c>
      <c r="C17" t="s">
        <v>61</v>
      </c>
    </row>
    <row r="18" spans="1:3" x14ac:dyDescent="0.2">
      <c r="A18" s="4" t="s">
        <v>50</v>
      </c>
      <c r="B18" s="4" t="s">
        <v>66</v>
      </c>
      <c r="C18">
        <v>4340.1035796089936</v>
      </c>
    </row>
    <row r="19" spans="1:3" x14ac:dyDescent="0.2">
      <c r="A19" s="4" t="s">
        <v>50</v>
      </c>
      <c r="B19" s="4" t="s">
        <v>67</v>
      </c>
      <c r="C19">
        <v>16.022245730338973</v>
      </c>
    </row>
    <row r="20" spans="1:3" x14ac:dyDescent="0.2">
      <c r="A20" s="4" t="s">
        <v>50</v>
      </c>
      <c r="B20" s="4" t="s">
        <v>53</v>
      </c>
      <c r="C20" t="s">
        <v>62</v>
      </c>
    </row>
    <row r="21" spans="1:3" x14ac:dyDescent="0.2">
      <c r="A21" s="4" t="s">
        <v>50</v>
      </c>
      <c r="B21" s="4" t="s">
        <v>66</v>
      </c>
      <c r="C21">
        <v>4974.402186965378</v>
      </c>
    </row>
    <row r="22" spans="1:3" x14ac:dyDescent="0.2">
      <c r="A22" s="4" t="s">
        <v>50</v>
      </c>
      <c r="B22" s="4" t="s">
        <v>67</v>
      </c>
      <c r="C22">
        <v>16.152524481239237</v>
      </c>
    </row>
    <row r="23" spans="1:3" x14ac:dyDescent="0.2">
      <c r="A23" s="4" t="s">
        <v>50</v>
      </c>
      <c r="B23" s="4" t="s">
        <v>53</v>
      </c>
      <c r="C23" t="s">
        <v>63</v>
      </c>
    </row>
    <row r="24" spans="1:3" x14ac:dyDescent="0.2">
      <c r="A24" s="4" t="s">
        <v>50</v>
      </c>
      <c r="B24" s="4" t="s">
        <v>66</v>
      </c>
      <c r="C24">
        <v>4175.3197159628844</v>
      </c>
    </row>
    <row r="25" spans="1:3" x14ac:dyDescent="0.2">
      <c r="A25" s="4" t="s">
        <v>50</v>
      </c>
      <c r="B25" s="4" t="s">
        <v>67</v>
      </c>
      <c r="C25">
        <v>15.710145819963916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4910-1669-4369-98B0-CDE887E4D98E}">
  <dimension ref="A1:AC25"/>
  <sheetViews>
    <sheetView topLeftCell="B1" workbookViewId="0">
      <selection activeCell="G21" sqref="G21"/>
    </sheetView>
  </sheetViews>
  <sheetFormatPr defaultRowHeight="14.25" x14ac:dyDescent="0.2"/>
  <cols>
    <col min="1" max="1" width="18.75" bestFit="1" customWidth="1"/>
    <col min="2" max="2" width="11.125" bestFit="1" customWidth="1"/>
    <col min="3" max="3" width="25.25" bestFit="1" customWidth="1"/>
    <col min="6" max="6" width="31.5" customWidth="1"/>
    <col min="7" max="7" width="15.625" customWidth="1"/>
    <col min="8" max="8" width="22.875" customWidth="1"/>
  </cols>
  <sheetData>
    <row r="1" spans="1:29" x14ac:dyDescent="0.2">
      <c r="A1" t="s">
        <v>8</v>
      </c>
      <c r="B1" t="s">
        <v>51</v>
      </c>
      <c r="C1" t="s">
        <v>52</v>
      </c>
    </row>
    <row r="2" spans="1:29" x14ac:dyDescent="0.2">
      <c r="A2" t="s">
        <v>49</v>
      </c>
      <c r="B2" t="s">
        <v>53</v>
      </c>
      <c r="C2" t="s">
        <v>54</v>
      </c>
    </row>
    <row r="3" spans="1:29" x14ac:dyDescent="0.2">
      <c r="A3" t="s">
        <v>49</v>
      </c>
      <c r="B3" t="s">
        <v>55</v>
      </c>
      <c r="C3">
        <v>2125.90625</v>
      </c>
    </row>
    <row r="4" spans="1:29" x14ac:dyDescent="0.2">
      <c r="A4" t="s">
        <v>49</v>
      </c>
      <c r="B4" t="s">
        <v>56</v>
      </c>
      <c r="C4">
        <v>14638.82421875</v>
      </c>
      <c r="F4" s="6" t="s">
        <v>53</v>
      </c>
      <c r="G4" s="8" t="s">
        <v>55</v>
      </c>
      <c r="H4" s="6" t="s">
        <v>56</v>
      </c>
      <c r="I4" s="8"/>
      <c r="J4" s="6"/>
      <c r="K4" s="8"/>
      <c r="L4" s="6"/>
      <c r="M4" s="8"/>
      <c r="N4" s="6"/>
      <c r="O4" s="8"/>
      <c r="P4" s="6"/>
      <c r="Q4" s="8"/>
      <c r="R4" s="6"/>
      <c r="S4" s="8"/>
      <c r="T4" s="6"/>
      <c r="U4" s="8"/>
      <c r="V4" s="6"/>
      <c r="W4" s="8"/>
      <c r="X4" s="6"/>
      <c r="Y4" s="8"/>
      <c r="Z4" s="6"/>
      <c r="AA4" s="8"/>
      <c r="AB4" s="6"/>
      <c r="AC4" s="8"/>
    </row>
    <row r="5" spans="1:29" x14ac:dyDescent="0.2">
      <c r="A5" t="s">
        <v>49</v>
      </c>
      <c r="B5" t="s">
        <v>53</v>
      </c>
      <c r="C5" t="s">
        <v>57</v>
      </c>
      <c r="F5" s="7" t="s">
        <v>54</v>
      </c>
      <c r="G5" s="9">
        <v>2125.90625</v>
      </c>
      <c r="H5" s="7">
        <v>14638.82421875</v>
      </c>
    </row>
    <row r="6" spans="1:29" x14ac:dyDescent="0.2">
      <c r="A6" t="s">
        <v>49</v>
      </c>
      <c r="B6" t="s">
        <v>55</v>
      </c>
      <c r="C6">
        <v>2875.515625</v>
      </c>
      <c r="F6" s="9" t="s">
        <v>57</v>
      </c>
      <c r="G6" s="7">
        <v>2875.515625</v>
      </c>
      <c r="H6" s="9">
        <v>17008.2109375</v>
      </c>
    </row>
    <row r="7" spans="1:29" x14ac:dyDescent="0.2">
      <c r="A7" t="s">
        <v>49</v>
      </c>
      <c r="B7" t="s">
        <v>56</v>
      </c>
      <c r="C7">
        <v>17008.2109375</v>
      </c>
      <c r="F7" s="7" t="s">
        <v>58</v>
      </c>
      <c r="G7" s="9">
        <v>1655.16015625</v>
      </c>
      <c r="H7" s="7">
        <v>13189.2265625</v>
      </c>
    </row>
    <row r="8" spans="1:29" x14ac:dyDescent="0.2">
      <c r="A8" t="s">
        <v>49</v>
      </c>
      <c r="B8" t="s">
        <v>53</v>
      </c>
      <c r="C8" t="s">
        <v>58</v>
      </c>
      <c r="F8" s="9" t="s">
        <v>59</v>
      </c>
      <c r="G8" s="7">
        <v>1653.94921875</v>
      </c>
      <c r="H8" s="9">
        <v>13195.25</v>
      </c>
    </row>
    <row r="9" spans="1:29" x14ac:dyDescent="0.2">
      <c r="A9" t="s">
        <v>49</v>
      </c>
      <c r="B9" t="s">
        <v>55</v>
      </c>
      <c r="C9">
        <v>1655.16015625</v>
      </c>
      <c r="F9" s="7" t="s">
        <v>60</v>
      </c>
      <c r="G9" s="9">
        <v>1719.9765625</v>
      </c>
      <c r="H9" s="7">
        <v>14074.890625</v>
      </c>
    </row>
    <row r="10" spans="1:29" x14ac:dyDescent="0.2">
      <c r="A10" t="s">
        <v>49</v>
      </c>
      <c r="B10" t="s">
        <v>56</v>
      </c>
      <c r="C10">
        <v>13189.2265625</v>
      </c>
      <c r="F10" s="9" t="s">
        <v>61</v>
      </c>
      <c r="G10" s="7">
        <v>1676.171875</v>
      </c>
      <c r="H10" s="9">
        <v>14049.12890625</v>
      </c>
    </row>
    <row r="11" spans="1:29" x14ac:dyDescent="0.2">
      <c r="A11" t="s">
        <v>49</v>
      </c>
      <c r="B11" t="s">
        <v>53</v>
      </c>
      <c r="C11" t="s">
        <v>59</v>
      </c>
      <c r="F11" s="7" t="s">
        <v>62</v>
      </c>
      <c r="G11" s="9">
        <v>1697.0234375</v>
      </c>
      <c r="H11" s="7">
        <v>14380.65234375</v>
      </c>
    </row>
    <row r="12" spans="1:29" x14ac:dyDescent="0.2">
      <c r="A12" t="s">
        <v>49</v>
      </c>
      <c r="B12" t="s">
        <v>55</v>
      </c>
      <c r="C12">
        <v>1653.94921875</v>
      </c>
      <c r="F12" s="9" t="s">
        <v>63</v>
      </c>
      <c r="G12" s="7">
        <v>1695.3671875</v>
      </c>
      <c r="H12" s="9">
        <v>14366.97265625</v>
      </c>
    </row>
    <row r="13" spans="1:29" x14ac:dyDescent="0.2">
      <c r="A13" t="s">
        <v>49</v>
      </c>
      <c r="B13" t="s">
        <v>56</v>
      </c>
      <c r="C13">
        <v>13195.25</v>
      </c>
    </row>
    <row r="14" spans="1:29" x14ac:dyDescent="0.2">
      <c r="A14" t="s">
        <v>49</v>
      </c>
      <c r="B14" t="s">
        <v>53</v>
      </c>
      <c r="C14" t="s">
        <v>60</v>
      </c>
    </row>
    <row r="15" spans="1:29" x14ac:dyDescent="0.2">
      <c r="A15" t="s">
        <v>49</v>
      </c>
      <c r="B15" t="s">
        <v>55</v>
      </c>
      <c r="C15">
        <v>1719.9765625</v>
      </c>
    </row>
    <row r="16" spans="1:29" x14ac:dyDescent="0.2">
      <c r="A16" t="s">
        <v>49</v>
      </c>
      <c r="B16" t="s">
        <v>56</v>
      </c>
      <c r="C16">
        <v>14074.890625</v>
      </c>
    </row>
    <row r="17" spans="1:3" x14ac:dyDescent="0.2">
      <c r="A17" t="s">
        <v>49</v>
      </c>
      <c r="B17" t="s">
        <v>53</v>
      </c>
      <c r="C17" t="s">
        <v>61</v>
      </c>
    </row>
    <row r="18" spans="1:3" x14ac:dyDescent="0.2">
      <c r="A18" t="s">
        <v>49</v>
      </c>
      <c r="B18" t="s">
        <v>55</v>
      </c>
      <c r="C18">
        <v>1676.171875</v>
      </c>
    </row>
    <row r="19" spans="1:3" x14ac:dyDescent="0.2">
      <c r="A19" t="s">
        <v>49</v>
      </c>
      <c r="B19" t="s">
        <v>56</v>
      </c>
      <c r="C19">
        <v>14049.12890625</v>
      </c>
    </row>
    <row r="20" spans="1:3" x14ac:dyDescent="0.2">
      <c r="A20" t="s">
        <v>49</v>
      </c>
      <c r="B20" t="s">
        <v>53</v>
      </c>
      <c r="C20" t="s">
        <v>62</v>
      </c>
    </row>
    <row r="21" spans="1:3" x14ac:dyDescent="0.2">
      <c r="A21" t="s">
        <v>49</v>
      </c>
      <c r="B21" t="s">
        <v>55</v>
      </c>
      <c r="C21">
        <v>1697.0234375</v>
      </c>
    </row>
    <row r="22" spans="1:3" x14ac:dyDescent="0.2">
      <c r="A22" t="s">
        <v>49</v>
      </c>
      <c r="B22" t="s">
        <v>56</v>
      </c>
      <c r="C22">
        <v>14380.65234375</v>
      </c>
    </row>
    <row r="23" spans="1:3" x14ac:dyDescent="0.2">
      <c r="A23" t="s">
        <v>49</v>
      </c>
      <c r="B23" t="s">
        <v>53</v>
      </c>
      <c r="C23" t="s">
        <v>63</v>
      </c>
    </row>
    <row r="24" spans="1:3" x14ac:dyDescent="0.2">
      <c r="A24" t="s">
        <v>49</v>
      </c>
      <c r="B24" t="s">
        <v>55</v>
      </c>
      <c r="C24">
        <v>1695.3671875</v>
      </c>
    </row>
    <row r="25" spans="1:3" x14ac:dyDescent="0.2">
      <c r="A25" t="s">
        <v>49</v>
      </c>
      <c r="B25" t="s">
        <v>56</v>
      </c>
      <c r="C25">
        <v>14366.97265625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5E31-726B-4A4F-BA3C-093ACD434DD4}">
  <dimension ref="A1:O33"/>
  <sheetViews>
    <sheetView tabSelected="1" workbookViewId="0">
      <selection activeCell="B37" sqref="B37"/>
    </sheetView>
  </sheetViews>
  <sheetFormatPr defaultRowHeight="14.25" x14ac:dyDescent="0.2"/>
  <cols>
    <col min="1" max="1" width="31.875" customWidth="1"/>
    <col min="2" max="2" width="36" customWidth="1"/>
    <col min="3" max="3" width="16" customWidth="1"/>
    <col min="4" max="4" width="20.25" customWidth="1"/>
    <col min="5" max="5" width="22.625" customWidth="1"/>
    <col min="6" max="6" width="25.125" customWidth="1"/>
    <col min="7" max="7" width="20.375" customWidth="1"/>
    <col min="8" max="8" width="20.75" customWidth="1"/>
    <col min="9" max="9" width="24.75" customWidth="1"/>
    <col min="10" max="10" width="28.625" customWidth="1"/>
    <col min="11" max="11" width="18.625" customWidth="1"/>
    <col min="12" max="12" width="23.375" customWidth="1"/>
    <col min="13" max="13" width="29.75" customWidth="1"/>
    <col min="14" max="14" width="19.125" customWidth="1"/>
    <col min="15" max="15" width="21.125" customWidth="1"/>
  </cols>
  <sheetData>
    <row r="1" spans="1:15" x14ac:dyDescent="0.2">
      <c r="A1" s="2"/>
      <c r="B1" s="2"/>
      <c r="C1" s="2"/>
      <c r="D1" s="2" t="s">
        <v>11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 t="s">
        <v>12</v>
      </c>
      <c r="E2" s="2"/>
      <c r="F2" s="2"/>
      <c r="G2" s="2"/>
      <c r="H2" s="2" t="s">
        <v>13</v>
      </c>
      <c r="I2" s="2"/>
      <c r="J2" s="2"/>
      <c r="K2" s="2"/>
      <c r="L2" s="2" t="s">
        <v>14</v>
      </c>
      <c r="M2" s="2"/>
      <c r="N2" s="2"/>
      <c r="O2" s="2"/>
    </row>
    <row r="3" spans="1:15" x14ac:dyDescent="0.2">
      <c r="A3" s="2"/>
      <c r="B3" s="2"/>
      <c r="C3" s="2"/>
      <c r="D3" s="3" t="s">
        <v>16</v>
      </c>
      <c r="E3" s="3" t="s">
        <v>17</v>
      </c>
      <c r="F3" s="3" t="s">
        <v>18</v>
      </c>
      <c r="G3" s="3" t="s">
        <v>19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16</v>
      </c>
      <c r="M3" s="3" t="s">
        <v>17</v>
      </c>
      <c r="N3" s="3" t="s">
        <v>18</v>
      </c>
      <c r="O3" s="3" t="s">
        <v>19</v>
      </c>
    </row>
    <row r="4" spans="1:15" x14ac:dyDescent="0.2">
      <c r="A4" s="2" t="s">
        <v>15</v>
      </c>
      <c r="B4" s="2"/>
      <c r="C4" s="2"/>
      <c r="D4" s="1">
        <v>0.29522184300341298</v>
      </c>
      <c r="E4" s="1">
        <v>1.332975029338232E-2</v>
      </c>
      <c r="F4" s="1">
        <v>0.32423208191126279</v>
      </c>
      <c r="G4" s="1">
        <v>1.3678810399518812E-2</v>
      </c>
      <c r="H4" s="1">
        <v>0.40619398526189998</v>
      </c>
      <c r="I4" s="1">
        <v>4.901178917900843E-3</v>
      </c>
      <c r="J4" s="1">
        <v>0.52141007767377012</v>
      </c>
      <c r="K4" s="1">
        <v>4.9852047665550582E-3</v>
      </c>
      <c r="L4" s="1">
        <v>0.70239390642002175</v>
      </c>
      <c r="M4" s="1">
        <v>1.066735379238821E-2</v>
      </c>
      <c r="N4" s="1">
        <v>0.69967355821545163</v>
      </c>
      <c r="O4" s="1">
        <v>1.0695225308183138E-2</v>
      </c>
    </row>
    <row r="5" spans="1:15" x14ac:dyDescent="0.2">
      <c r="A5" s="2" t="s">
        <v>20</v>
      </c>
      <c r="B5" s="2" t="s">
        <v>23</v>
      </c>
      <c r="C5" s="3" t="s">
        <v>30</v>
      </c>
      <c r="D5" s="1">
        <v>0.29522184300341298</v>
      </c>
      <c r="E5" s="1">
        <v>1.332975029338232E-2</v>
      </c>
      <c r="F5" s="1">
        <v>0.32423208191126279</v>
      </c>
      <c r="G5" s="1">
        <v>1.3678810399518812E-2</v>
      </c>
      <c r="H5" s="1">
        <v>0.4059948217486557</v>
      </c>
      <c r="I5" s="1">
        <v>4.9007988680481304E-3</v>
      </c>
      <c r="J5" s="1">
        <v>0.52170882294363674</v>
      </c>
      <c r="K5" s="1">
        <v>4.9850760944647604E-3</v>
      </c>
      <c r="L5" s="1">
        <v>0.70076169749727968</v>
      </c>
      <c r="M5" s="1">
        <v>1.0684130673134579E-2</v>
      </c>
      <c r="N5" s="1">
        <v>0.69912948857453749</v>
      </c>
      <c r="O5" s="1">
        <v>1.0700745724145972E-2</v>
      </c>
    </row>
    <row r="6" spans="1:15" x14ac:dyDescent="0.2">
      <c r="A6" s="2"/>
      <c r="B6" s="2"/>
      <c r="C6" s="3" t="s">
        <v>31</v>
      </c>
      <c r="D6" s="1">
        <v>0.29522184300341298</v>
      </c>
      <c r="E6" s="1">
        <v>1.332975029338232E-2</v>
      </c>
      <c r="F6" s="1">
        <v>0.32423208191126279</v>
      </c>
      <c r="G6" s="1">
        <v>1.3678810399518812E-2</v>
      </c>
      <c r="H6" s="1">
        <v>0.40619398526189998</v>
      </c>
      <c r="I6" s="1">
        <v>4.901178917900843E-3</v>
      </c>
      <c r="J6" s="1">
        <v>0.52141007767377012</v>
      </c>
      <c r="K6" s="1">
        <v>4.9852047665550582E-3</v>
      </c>
      <c r="L6" s="1">
        <v>0.70239390642002175</v>
      </c>
      <c r="M6" s="1">
        <v>1.066735379238821E-2</v>
      </c>
      <c r="N6" s="1">
        <v>0.69967355821545163</v>
      </c>
      <c r="O6" s="1">
        <v>1.0695225308183138E-2</v>
      </c>
    </row>
    <row r="7" spans="1:15" x14ac:dyDescent="0.2">
      <c r="A7" s="2"/>
      <c r="B7" s="2" t="s">
        <v>25</v>
      </c>
      <c r="C7" s="3" t="s">
        <v>30</v>
      </c>
      <c r="D7" s="1">
        <v>0.27815699658703069</v>
      </c>
      <c r="E7" s="1">
        <v>1.3094469919538804E-2</v>
      </c>
      <c r="F7" s="1">
        <v>0.34129692832764508</v>
      </c>
      <c r="G7" s="1">
        <v>1.3855831287497726E-2</v>
      </c>
      <c r="H7" s="1">
        <v>0.39195379406492731</v>
      </c>
      <c r="I7" s="1">
        <v>4.8718874228935788E-3</v>
      </c>
      <c r="J7" s="1">
        <v>0.49810794662417845</v>
      </c>
      <c r="K7" s="1">
        <v>4.9897456858204285E-3</v>
      </c>
      <c r="L7" s="1">
        <v>0.68988030467899886</v>
      </c>
      <c r="M7" s="1">
        <v>1.079187656684304E-2</v>
      </c>
      <c r="N7" s="1">
        <v>0.69532100108813932</v>
      </c>
      <c r="O7" s="1">
        <v>1.073888904432516E-2</v>
      </c>
    </row>
    <row r="8" spans="1:15" x14ac:dyDescent="0.2">
      <c r="A8" s="2"/>
      <c r="B8" s="2"/>
      <c r="C8" s="3" t="s">
        <v>31</v>
      </c>
      <c r="D8" s="1">
        <v>0.27730375426621162</v>
      </c>
      <c r="E8" s="1">
        <v>1.3082095839059374E-2</v>
      </c>
      <c r="F8" s="1">
        <v>0.34215017064846415</v>
      </c>
      <c r="G8" s="1">
        <v>1.386415215917728E-2</v>
      </c>
      <c r="H8" s="1">
        <v>0.39155546703843858</v>
      </c>
      <c r="I8" s="1">
        <v>4.8710059394074688E-3</v>
      </c>
      <c r="J8" s="1">
        <v>0.49840669189404502</v>
      </c>
      <c r="K8" s="1">
        <v>4.9897560769563472E-3</v>
      </c>
      <c r="L8" s="1">
        <v>0.69151251360174104</v>
      </c>
      <c r="M8" s="1">
        <v>1.0776164678037155E-2</v>
      </c>
      <c r="N8" s="1">
        <v>0.69640914036996737</v>
      </c>
      <c r="O8" s="1">
        <v>1.072807989307637E-2</v>
      </c>
    </row>
    <row r="9" spans="1:15" x14ac:dyDescent="0.2">
      <c r="A9" s="2"/>
      <c r="B9" s="2" t="s">
        <v>27</v>
      </c>
      <c r="C9" s="3" t="s">
        <v>30</v>
      </c>
      <c r="D9" s="1">
        <v>0.28412969283276451</v>
      </c>
      <c r="E9" s="1">
        <v>1.3179442447653887E-2</v>
      </c>
      <c r="F9" s="1">
        <v>0.30887372013651876</v>
      </c>
      <c r="G9" s="1">
        <v>1.3501770929344004E-2</v>
      </c>
      <c r="H9" s="1">
        <v>0.38916550487950607</v>
      </c>
      <c r="I9" s="1">
        <v>4.865645485910423E-3</v>
      </c>
      <c r="J9" s="1">
        <v>0.49322844054969128</v>
      </c>
      <c r="K9" s="1">
        <v>4.9893237874135141E-3</v>
      </c>
      <c r="L9" s="1">
        <v>0.69314472252448311</v>
      </c>
      <c r="M9" s="1">
        <v>1.0760295070580374E-2</v>
      </c>
      <c r="N9" s="1">
        <v>0.69042437431991299</v>
      </c>
      <c r="O9" s="1">
        <v>1.0786656752183344E-2</v>
      </c>
    </row>
    <row r="10" spans="1:15" x14ac:dyDescent="0.2">
      <c r="A10" s="2"/>
      <c r="B10" s="2"/>
      <c r="C10" s="3" t="s">
        <v>31</v>
      </c>
      <c r="D10" s="1">
        <v>0.28242320819112626</v>
      </c>
      <c r="E10" s="1">
        <v>1.3155456884097222E-2</v>
      </c>
      <c r="F10" s="1">
        <v>0.31058020477815701</v>
      </c>
      <c r="G10" s="1">
        <v>1.3522292098053066E-2</v>
      </c>
      <c r="H10" s="1">
        <v>0.38916550487950607</v>
      </c>
      <c r="I10" s="1">
        <v>4.865645485910423E-3</v>
      </c>
      <c r="J10" s="1">
        <v>0.49372634933280224</v>
      </c>
      <c r="K10" s="1">
        <v>4.9893886134388075E-3</v>
      </c>
      <c r="L10" s="1">
        <v>0.69314472252448311</v>
      </c>
      <c r="M10" s="1">
        <v>1.0760295070580374E-2</v>
      </c>
      <c r="N10" s="1">
        <v>0.68988030467899886</v>
      </c>
      <c r="O10" s="1">
        <v>1.0791876566843037E-2</v>
      </c>
    </row>
    <row r="11" spans="1:15" x14ac:dyDescent="0.2">
      <c r="A11" s="2"/>
      <c r="B11" s="2" t="s">
        <v>29</v>
      </c>
      <c r="C11" s="3" t="s">
        <v>30</v>
      </c>
      <c r="D11" s="1">
        <v>0.30716723549488056</v>
      </c>
      <c r="E11" s="1">
        <v>1.3481034054980945E-2</v>
      </c>
      <c r="F11" s="1">
        <v>0.34044368600682595</v>
      </c>
      <c r="G11" s="1">
        <v>1.384746051889298E-2</v>
      </c>
      <c r="H11" s="1">
        <v>0.4059948217486557</v>
      </c>
      <c r="I11" s="1">
        <v>4.9007988680481304E-3</v>
      </c>
      <c r="J11" s="1">
        <v>0.52399920334594707</v>
      </c>
      <c r="K11" s="1">
        <v>4.9840302505073019E-3</v>
      </c>
      <c r="L11" s="1">
        <v>0.7034820457018498</v>
      </c>
      <c r="M11" s="1">
        <v>1.0656078922661136E-2</v>
      </c>
      <c r="N11" s="1">
        <v>0.7013057671381937</v>
      </c>
      <c r="O11" s="1">
        <v>1.0678556398149229E-2</v>
      </c>
    </row>
    <row r="12" spans="1:15" x14ac:dyDescent="0.2">
      <c r="A12" s="2"/>
      <c r="B12" s="2"/>
      <c r="C12" s="3" t="s">
        <v>31</v>
      </c>
      <c r="D12" s="1">
        <v>0.30716723549488056</v>
      </c>
      <c r="E12" s="1">
        <v>1.3481034054980945E-2</v>
      </c>
      <c r="F12" s="1">
        <v>0.34044368600682595</v>
      </c>
      <c r="G12" s="1">
        <v>1.384746051889298E-2</v>
      </c>
      <c r="H12" s="1">
        <v>0.40549691296554469</v>
      </c>
      <c r="I12" s="1">
        <v>4.8998450871831061E-3</v>
      </c>
      <c r="J12" s="1">
        <v>0.52389962158932479</v>
      </c>
      <c r="K12" s="1">
        <v>4.9840779062160986E-3</v>
      </c>
      <c r="L12" s="1">
        <v>0.70457018498367796</v>
      </c>
      <c r="M12" s="1">
        <v>1.0644731559342464E-2</v>
      </c>
      <c r="N12" s="1">
        <v>0.70184983677910773</v>
      </c>
      <c r="O12" s="1">
        <v>1.0672964114008299E-2</v>
      </c>
    </row>
    <row r="14" spans="1:15" x14ac:dyDescent="0.2">
      <c r="A14" s="2" t="s">
        <v>48</v>
      </c>
      <c r="B14" s="2" t="s">
        <v>22</v>
      </c>
      <c r="C14" s="2"/>
      <c r="D14" s="5">
        <f>(D5-D6)/D6</f>
        <v>0</v>
      </c>
      <c r="E14" s="5">
        <f t="shared" ref="E14:O14" si="0">(E5-E6)/E6</f>
        <v>0</v>
      </c>
      <c r="F14" s="5">
        <f t="shared" si="0"/>
        <v>0</v>
      </c>
      <c r="G14" s="5">
        <f t="shared" si="0"/>
        <v>0</v>
      </c>
      <c r="H14" s="5">
        <f t="shared" si="0"/>
        <v>-4.9031625398359552E-4</v>
      </c>
      <c r="I14" s="5">
        <f t="shared" si="0"/>
        <v>-7.7542538046204484E-5</v>
      </c>
      <c r="J14" s="5">
        <f t="shared" si="0"/>
        <v>5.7295645530950734E-4</v>
      </c>
      <c r="K14" s="5">
        <f t="shared" si="0"/>
        <v>-2.5810793402308999E-5</v>
      </c>
      <c r="L14" s="5">
        <f t="shared" si="0"/>
        <v>-2.3237800154918132E-3</v>
      </c>
      <c r="M14" s="5">
        <f t="shared" si="0"/>
        <v>1.572731257712745E-3</v>
      </c>
      <c r="N14" s="5">
        <f t="shared" si="0"/>
        <v>-7.7760497667199132E-4</v>
      </c>
      <c r="O14" s="5">
        <f t="shared" si="0"/>
        <v>5.1615705174626054E-4</v>
      </c>
    </row>
    <row r="15" spans="1:15" x14ac:dyDescent="0.2">
      <c r="A15" s="2"/>
      <c r="B15" s="2" t="s">
        <v>24</v>
      </c>
      <c r="C15" s="2"/>
      <c r="D15" s="5">
        <f>(D7-D8)/D8</f>
        <v>3.0769230769229225E-3</v>
      </c>
      <c r="E15" s="5">
        <f t="shared" ref="E15:O15" si="1">(E7-E8)/E8</f>
        <v>9.4587905727490482E-4</v>
      </c>
      <c r="F15" s="5">
        <f t="shared" si="1"/>
        <v>-2.4937655860347878E-3</v>
      </c>
      <c r="G15" s="5">
        <f t="shared" si="1"/>
        <v>-6.0017169344510856E-4</v>
      </c>
      <c r="H15" s="5">
        <f t="shared" si="1"/>
        <v>1.0172939979653723E-3</v>
      </c>
      <c r="I15" s="5">
        <f t="shared" si="1"/>
        <v>1.8096538930051104E-4</v>
      </c>
      <c r="J15" s="5">
        <f t="shared" si="1"/>
        <v>-5.9940059940060385E-4</v>
      </c>
      <c r="K15" s="5">
        <f t="shared" si="1"/>
        <v>-2.0824937649199623E-6</v>
      </c>
      <c r="L15" s="5">
        <f t="shared" si="1"/>
        <v>-2.3603461841071082E-3</v>
      </c>
      <c r="M15" s="5">
        <f t="shared" si="1"/>
        <v>1.4580223368251752E-3</v>
      </c>
      <c r="N15" s="5">
        <f t="shared" si="1"/>
        <v>-1.5624999999999639E-3</v>
      </c>
      <c r="O15" s="5">
        <f t="shared" si="1"/>
        <v>1.0075569306457158E-3</v>
      </c>
    </row>
    <row r="16" spans="1:15" x14ac:dyDescent="0.2">
      <c r="A16" s="2"/>
      <c r="B16" s="2" t="s">
        <v>26</v>
      </c>
      <c r="C16" s="2"/>
      <c r="D16" s="5">
        <f>(D9-D10)/D10</f>
        <v>6.0422960725076431E-3</v>
      </c>
      <c r="E16" s="5">
        <f t="shared" ref="E16:O16" si="2">(E9-E10)/E10</f>
        <v>1.8232406345126742E-3</v>
      </c>
      <c r="F16" s="5">
        <f t="shared" si="2"/>
        <v>-5.4945054945055756E-3</v>
      </c>
      <c r="G16" s="5">
        <f t="shared" si="2"/>
        <v>-1.5175806409340924E-3</v>
      </c>
      <c r="H16" s="5">
        <f t="shared" si="2"/>
        <v>0</v>
      </c>
      <c r="I16" s="5">
        <f t="shared" si="2"/>
        <v>0</v>
      </c>
      <c r="J16" s="5">
        <f t="shared" si="2"/>
        <v>-1.0084711577249342E-3</v>
      </c>
      <c r="K16" s="5">
        <f t="shared" si="2"/>
        <v>-1.2992779339504129E-5</v>
      </c>
      <c r="L16" s="5">
        <f t="shared" si="2"/>
        <v>0</v>
      </c>
      <c r="M16" s="5">
        <f t="shared" si="2"/>
        <v>0</v>
      </c>
      <c r="N16" s="5">
        <f t="shared" si="2"/>
        <v>7.8864353312317116E-4</v>
      </c>
      <c r="O16" s="5">
        <f t="shared" si="2"/>
        <v>-4.8367998163824876E-4</v>
      </c>
    </row>
    <row r="17" spans="1:15" x14ac:dyDescent="0.2">
      <c r="A17" s="2"/>
      <c r="B17" s="2" t="s">
        <v>28</v>
      </c>
      <c r="C17" s="2"/>
      <c r="D17" s="5">
        <f>(D11-D12)/D12</f>
        <v>0</v>
      </c>
      <c r="E17" s="5">
        <f t="shared" ref="E17:O17" si="3">(E11-E12)/E12</f>
        <v>0</v>
      </c>
      <c r="F17" s="5">
        <f t="shared" si="3"/>
        <v>0</v>
      </c>
      <c r="G17" s="5">
        <f t="shared" si="3"/>
        <v>0</v>
      </c>
      <c r="H17" s="5">
        <f t="shared" si="3"/>
        <v>1.2278978388999954E-3</v>
      </c>
      <c r="I17" s="5">
        <f t="shared" si="3"/>
        <v>1.946553101278947E-4</v>
      </c>
      <c r="J17" s="5">
        <f t="shared" si="3"/>
        <v>1.900779319522784E-4</v>
      </c>
      <c r="K17" s="5">
        <f t="shared" si="3"/>
        <v>-9.5615898654526883E-6</v>
      </c>
      <c r="L17" s="5">
        <f t="shared" si="3"/>
        <v>-1.5444015444016663E-3</v>
      </c>
      <c r="M17" s="5">
        <f t="shared" si="3"/>
        <v>1.0660074662674776E-3</v>
      </c>
      <c r="N17" s="5">
        <f t="shared" si="3"/>
        <v>-7.751937984495945E-4</v>
      </c>
      <c r="O17" s="5">
        <f t="shared" si="3"/>
        <v>5.2396729541984394E-4</v>
      </c>
    </row>
    <row r="19" spans="1:15" x14ac:dyDescent="0.2">
      <c r="A19" s="2" t="s">
        <v>64</v>
      </c>
      <c r="B19" s="2"/>
      <c r="C19" s="2"/>
      <c r="E19" s="2" t="s">
        <v>68</v>
      </c>
      <c r="F19" s="2"/>
      <c r="G19" s="2"/>
    </row>
    <row r="20" spans="1:15" x14ac:dyDescent="0.2">
      <c r="A20" s="1" t="s">
        <v>53</v>
      </c>
      <c r="B20" s="1" t="s">
        <v>55</v>
      </c>
      <c r="C20" s="1" t="s">
        <v>56</v>
      </c>
      <c r="E20" s="12" t="s">
        <v>53</v>
      </c>
      <c r="F20" s="12" t="s">
        <v>66</v>
      </c>
      <c r="G20" s="12" t="s">
        <v>67</v>
      </c>
    </row>
    <row r="21" spans="1:15" x14ac:dyDescent="0.2">
      <c r="A21" s="1" t="s">
        <v>54</v>
      </c>
      <c r="B21" s="1">
        <v>2125.90625</v>
      </c>
      <c r="C21" s="1">
        <v>14638.82421875</v>
      </c>
      <c r="E21" s="1" t="s">
        <v>54</v>
      </c>
      <c r="F21" s="1">
        <v>5934.0002991240517</v>
      </c>
      <c r="G21" s="1">
        <v>30.334724704770647</v>
      </c>
    </row>
    <row r="22" spans="1:15" x14ac:dyDescent="0.2">
      <c r="A22" s="1" t="s">
        <v>57</v>
      </c>
      <c r="B22" s="1">
        <v>2875.515625</v>
      </c>
      <c r="C22" s="1">
        <v>17008.2109375</v>
      </c>
      <c r="E22" s="1" t="s">
        <v>57</v>
      </c>
      <c r="F22" s="1">
        <v>9669.1486015857208</v>
      </c>
      <c r="G22" s="1">
        <v>44.934065270559103</v>
      </c>
    </row>
    <row r="23" spans="1:15" x14ac:dyDescent="0.2">
      <c r="A23" s="1" t="s">
        <v>58</v>
      </c>
      <c r="B23" s="1">
        <v>1655.16015625</v>
      </c>
      <c r="C23" s="1">
        <v>13189.2265625</v>
      </c>
      <c r="E23" s="1" t="s">
        <v>58</v>
      </c>
      <c r="F23" s="1">
        <v>4566.7768433070414</v>
      </c>
      <c r="G23" s="1">
        <v>27.813175373020659</v>
      </c>
    </row>
    <row r="24" spans="1:15" x14ac:dyDescent="0.2">
      <c r="A24" s="1" t="s">
        <v>59</v>
      </c>
      <c r="B24" s="1">
        <v>1653.94921875</v>
      </c>
      <c r="C24" s="1">
        <v>13195.25</v>
      </c>
      <c r="E24" s="1" t="s">
        <v>59</v>
      </c>
      <c r="F24" s="1">
        <v>3775.7942869819417</v>
      </c>
      <c r="G24" s="1">
        <v>22.112463641367359</v>
      </c>
    </row>
    <row r="25" spans="1:15" x14ac:dyDescent="0.2">
      <c r="A25" s="1" t="s">
        <v>60</v>
      </c>
      <c r="B25" s="1">
        <v>1719.9765625</v>
      </c>
      <c r="C25" s="1">
        <v>14074.890625</v>
      </c>
      <c r="E25" s="1" t="s">
        <v>60</v>
      </c>
      <c r="F25" s="1">
        <v>6305.3920423765167</v>
      </c>
      <c r="G25" s="1">
        <v>21.64248687071187</v>
      </c>
    </row>
    <row r="26" spans="1:15" x14ac:dyDescent="0.2">
      <c r="A26" s="1" t="s">
        <v>61</v>
      </c>
      <c r="B26" s="1">
        <v>1676.171875</v>
      </c>
      <c r="C26" s="1">
        <v>14049.12890625</v>
      </c>
      <c r="E26" s="1" t="s">
        <v>61</v>
      </c>
      <c r="F26" s="1">
        <v>4340.1035796089936</v>
      </c>
      <c r="G26" s="1">
        <v>16.022245730338973</v>
      </c>
    </row>
    <row r="27" spans="1:15" x14ac:dyDescent="0.2">
      <c r="A27" s="1" t="s">
        <v>62</v>
      </c>
      <c r="B27" s="1">
        <v>1697.0234375</v>
      </c>
      <c r="C27" s="1">
        <v>14380.65234375</v>
      </c>
      <c r="E27" s="1" t="s">
        <v>62</v>
      </c>
      <c r="F27" s="1">
        <v>4974.402186965378</v>
      </c>
      <c r="G27" s="1">
        <v>16.152524481239237</v>
      </c>
    </row>
    <row r="28" spans="1:15" x14ac:dyDescent="0.2">
      <c r="A28" s="1" t="s">
        <v>63</v>
      </c>
      <c r="B28" s="1">
        <v>1695.3671875</v>
      </c>
      <c r="C28" s="1">
        <v>14366.97265625</v>
      </c>
      <c r="E28" s="1" t="s">
        <v>63</v>
      </c>
      <c r="F28" s="1">
        <v>4175.3197159628844</v>
      </c>
      <c r="G28" s="1">
        <v>15.710145819963916</v>
      </c>
    </row>
    <row r="30" spans="1:15" x14ac:dyDescent="0.2">
      <c r="A30" s="13" t="s">
        <v>22</v>
      </c>
      <c r="B30" s="1">
        <f>-(B21-B22)/B22</f>
        <v>0.26068694201583414</v>
      </c>
      <c r="C30" s="1">
        <f>-(C21-C22)/C22</f>
        <v>0.13930840389131904</v>
      </c>
      <c r="D30" s="2" t="s">
        <v>48</v>
      </c>
      <c r="E30" s="13" t="s">
        <v>22</v>
      </c>
      <c r="F30" s="1">
        <f>(F21-F22)/F22</f>
        <v>-0.38629546988750513</v>
      </c>
      <c r="G30" s="1">
        <f>(G21-G22)/G22</f>
        <v>-0.32490584766551217</v>
      </c>
    </row>
    <row r="31" spans="1:15" x14ac:dyDescent="0.2">
      <c r="A31" s="13" t="s">
        <v>24</v>
      </c>
      <c r="B31" s="1">
        <f>(B24-B23)/B24</f>
        <v>-7.3214914114182205E-4</v>
      </c>
      <c r="C31" s="1">
        <f>(C24-C23)/C24</f>
        <v>4.5648528826661107E-4</v>
      </c>
      <c r="D31" s="2"/>
      <c r="E31" s="13" t="s">
        <v>24</v>
      </c>
      <c r="F31" s="1">
        <f>(F23-F24)/F24</f>
        <v>0.20948772528530571</v>
      </c>
      <c r="G31" s="1">
        <f>(G23-G24)/G24</f>
        <v>0.2578053637130045</v>
      </c>
    </row>
    <row r="32" spans="1:15" x14ac:dyDescent="0.2">
      <c r="A32" s="13" t="s">
        <v>26</v>
      </c>
      <c r="B32" s="1">
        <f>(B26-B25)/B26</f>
        <v>-2.6133768352365416E-2</v>
      </c>
      <c r="C32" s="1">
        <f>(C26-C25)/C26</f>
        <v>-1.8336879760950482E-3</v>
      </c>
      <c r="D32" s="2"/>
      <c r="E32" s="13" t="s">
        <v>26</v>
      </c>
      <c r="F32" s="1">
        <f>-(F26-F25)/F26</f>
        <v>0.45282063589472643</v>
      </c>
      <c r="G32" s="1">
        <f>-(G26-G25)/G26</f>
        <v>0.35077736510623303</v>
      </c>
    </row>
    <row r="33" spans="1:7" x14ac:dyDescent="0.2">
      <c r="A33" s="13" t="s">
        <v>28</v>
      </c>
      <c r="B33" s="1">
        <f>(B28-B27)/B28</f>
        <v>-9.7692701157105536E-4</v>
      </c>
      <c r="C33" s="1">
        <f>(C28-C27)/C28</f>
        <v>-9.5216214489341193E-4</v>
      </c>
      <c r="D33" s="2"/>
      <c r="E33" s="13" t="s">
        <v>28</v>
      </c>
      <c r="F33" s="1">
        <f>-(F28-F27)/F28</f>
        <v>0.1913823432364902</v>
      </c>
      <c r="G33" s="1">
        <f>-(G28-G27)/G28</f>
        <v>2.8158787725137521E-2</v>
      </c>
    </row>
  </sheetData>
  <mergeCells count="19">
    <mergeCell ref="B16:C16"/>
    <mergeCell ref="B15:C15"/>
    <mergeCell ref="B14:C14"/>
    <mergeCell ref="A19:C19"/>
    <mergeCell ref="E19:G19"/>
    <mergeCell ref="D30:D33"/>
    <mergeCell ref="A5:A12"/>
    <mergeCell ref="A4:C4"/>
    <mergeCell ref="A1:C3"/>
    <mergeCell ref="A14:A17"/>
    <mergeCell ref="B17:C17"/>
    <mergeCell ref="B5:B6"/>
    <mergeCell ref="B7:B8"/>
    <mergeCell ref="B9:B10"/>
    <mergeCell ref="B11:B12"/>
    <mergeCell ref="D1:O1"/>
    <mergeCell ref="D2:G2"/>
    <mergeCell ref="H2:K2"/>
    <mergeCell ref="L2:O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0C7C-91B9-48E3-BAE8-7A127E544C03}">
  <dimension ref="A1:F21"/>
  <sheetViews>
    <sheetView workbookViewId="0">
      <selection activeCell="C26" sqref="C26"/>
    </sheetView>
  </sheetViews>
  <sheetFormatPr defaultRowHeight="14.25" x14ac:dyDescent="0.2"/>
  <cols>
    <col min="1" max="3" width="12.75" bestFit="1" customWidth="1"/>
    <col min="4" max="4" width="17.375" bestFit="1" customWidth="1"/>
    <col min="5" max="5" width="17" bestFit="1" customWidth="1"/>
    <col min="6" max="6" width="23.375" bestFit="1" customWidth="1"/>
  </cols>
  <sheetData>
    <row r="1" spans="1:6" x14ac:dyDescent="0.2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 t="s">
        <v>3</v>
      </c>
      <c r="B2" t="s">
        <v>3</v>
      </c>
      <c r="C2">
        <v>0.29522184300341298</v>
      </c>
      <c r="D2">
        <v>1.332975029338232E-2</v>
      </c>
      <c r="E2">
        <v>0.32423208191126279</v>
      </c>
      <c r="F2">
        <v>1.3678810399518812E-2</v>
      </c>
    </row>
    <row r="3" spans="1:6" x14ac:dyDescent="0.2">
      <c r="A3" t="s">
        <v>9</v>
      </c>
      <c r="B3" t="s">
        <v>9</v>
      </c>
      <c r="C3">
        <v>0.40619398526189998</v>
      </c>
      <c r="D3">
        <v>4.901178917900843E-3</v>
      </c>
      <c r="E3">
        <v>0.52141007767377012</v>
      </c>
      <c r="F3">
        <v>4.9852047665550582E-3</v>
      </c>
    </row>
    <row r="4" spans="1:6" x14ac:dyDescent="0.2">
      <c r="A4" t="s">
        <v>10</v>
      </c>
      <c r="B4" t="s">
        <v>10</v>
      </c>
      <c r="C4">
        <v>0.70239390642002175</v>
      </c>
      <c r="D4">
        <v>1.066735379238821E-2</v>
      </c>
      <c r="E4">
        <v>0.69967355821545163</v>
      </c>
      <c r="F4">
        <v>1.0695225308183138E-2</v>
      </c>
    </row>
    <row r="14" spans="1:6" x14ac:dyDescent="0.2">
      <c r="A14" s="2" t="s">
        <v>21</v>
      </c>
      <c r="B14" s="2" t="s">
        <v>23</v>
      </c>
      <c r="C14" s="3" t="s">
        <v>30</v>
      </c>
    </row>
    <row r="15" spans="1:6" x14ac:dyDescent="0.2">
      <c r="A15" s="2"/>
      <c r="B15" s="2"/>
      <c r="C15" s="3" t="s">
        <v>31</v>
      </c>
    </row>
    <row r="16" spans="1:6" x14ac:dyDescent="0.2">
      <c r="A16" s="2"/>
      <c r="B16" s="2" t="s">
        <v>25</v>
      </c>
      <c r="C16" s="3" t="s">
        <v>30</v>
      </c>
    </row>
    <row r="17" spans="1:3" x14ac:dyDescent="0.2">
      <c r="A17" s="2"/>
      <c r="B17" s="2"/>
      <c r="C17" s="3" t="s">
        <v>31</v>
      </c>
    </row>
    <row r="18" spans="1:3" x14ac:dyDescent="0.2">
      <c r="A18" s="2"/>
      <c r="B18" s="2" t="s">
        <v>27</v>
      </c>
      <c r="C18" s="3" t="s">
        <v>30</v>
      </c>
    </row>
    <row r="19" spans="1:3" x14ac:dyDescent="0.2">
      <c r="A19" s="2"/>
      <c r="B19" s="2"/>
      <c r="C19" s="3" t="s">
        <v>31</v>
      </c>
    </row>
    <row r="20" spans="1:3" x14ac:dyDescent="0.2">
      <c r="A20" s="2"/>
      <c r="B20" s="2" t="s">
        <v>29</v>
      </c>
      <c r="C20" s="3" t="s">
        <v>30</v>
      </c>
    </row>
    <row r="21" spans="1:3" x14ac:dyDescent="0.2">
      <c r="A21" s="2"/>
      <c r="B21" s="2"/>
      <c r="C21" s="3" t="s">
        <v>31</v>
      </c>
    </row>
  </sheetData>
  <mergeCells count="5">
    <mergeCell ref="A14:A21"/>
    <mergeCell ref="B14:B15"/>
    <mergeCell ref="B16:B17"/>
    <mergeCell ref="B18:B19"/>
    <mergeCell ref="B20:B2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4EBD-AFBE-4405-BAB9-BAE2C0C95A2D}">
  <dimension ref="A1:M9"/>
  <sheetViews>
    <sheetView workbookViewId="0">
      <selection activeCell="E21" sqref="E21"/>
    </sheetView>
  </sheetViews>
  <sheetFormatPr defaultRowHeight="14.25" x14ac:dyDescent="0.2"/>
  <cols>
    <col min="1" max="1" width="57" bestFit="1" customWidth="1"/>
    <col min="2" max="2" width="12.75" bestFit="1" customWidth="1"/>
    <col min="3" max="3" width="17.375" bestFit="1" customWidth="1"/>
    <col min="4" max="4" width="17" bestFit="1" customWidth="1"/>
    <col min="5" max="5" width="23.375" bestFit="1" customWidth="1"/>
    <col min="6" max="6" width="12.75" bestFit="1" customWidth="1"/>
    <col min="7" max="7" width="19.125" bestFit="1" customWidth="1"/>
    <col min="8" max="8" width="18.625" bestFit="1" customWidth="1"/>
    <col min="9" max="9" width="25" bestFit="1" customWidth="1"/>
    <col min="10" max="10" width="12.75" bestFit="1" customWidth="1"/>
    <col min="11" max="11" width="19.125" bestFit="1" customWidth="1"/>
    <col min="12" max="12" width="18.625" bestFit="1" customWidth="1"/>
    <col min="13" max="13" width="25" bestFit="1" customWidth="1"/>
  </cols>
  <sheetData>
    <row r="1" spans="1:13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">
      <c r="A2" s="4" t="s">
        <v>40</v>
      </c>
      <c r="B2">
        <v>0.29522184300341298</v>
      </c>
      <c r="C2">
        <v>1.332975029338232E-2</v>
      </c>
      <c r="D2">
        <v>0.32423208191126279</v>
      </c>
      <c r="E2">
        <v>1.3678810399518812E-2</v>
      </c>
      <c r="F2">
        <v>0.4059948217486557</v>
      </c>
      <c r="G2">
        <v>4.9007988680481304E-3</v>
      </c>
      <c r="H2">
        <v>0.52170882294363674</v>
      </c>
      <c r="I2">
        <v>4.9850760944647604E-3</v>
      </c>
      <c r="J2">
        <v>0.70076169749727968</v>
      </c>
      <c r="K2">
        <v>1.0684130673134579E-2</v>
      </c>
      <c r="L2">
        <v>0.69912948857453749</v>
      </c>
      <c r="M2">
        <v>1.0700745724145972E-2</v>
      </c>
    </row>
    <row r="3" spans="1:13" x14ac:dyDescent="0.2">
      <c r="A3" s="4" t="s">
        <v>41</v>
      </c>
      <c r="B3">
        <v>0.29522184300341298</v>
      </c>
      <c r="C3">
        <v>1.332975029338232E-2</v>
      </c>
      <c r="D3">
        <v>0.32423208191126279</v>
      </c>
      <c r="E3">
        <v>1.3678810399518812E-2</v>
      </c>
      <c r="F3">
        <v>0.40619398526189998</v>
      </c>
      <c r="G3">
        <v>4.901178917900843E-3</v>
      </c>
      <c r="H3">
        <v>0.52141007767377012</v>
      </c>
      <c r="I3">
        <v>4.9852047665550582E-3</v>
      </c>
      <c r="J3">
        <v>0.70239390642002175</v>
      </c>
      <c r="K3">
        <v>1.066735379238821E-2</v>
      </c>
      <c r="L3">
        <v>0.69967355821545163</v>
      </c>
      <c r="M3">
        <v>1.0695225308183138E-2</v>
      </c>
    </row>
    <row r="4" spans="1:13" x14ac:dyDescent="0.2">
      <c r="A4" s="4" t="s">
        <v>42</v>
      </c>
      <c r="B4">
        <v>0.27815699658703069</v>
      </c>
      <c r="C4">
        <v>1.3094469919538804E-2</v>
      </c>
      <c r="D4">
        <v>0.34129692832764508</v>
      </c>
      <c r="E4">
        <v>1.3855831287497726E-2</v>
      </c>
      <c r="F4">
        <v>0.39195379406492731</v>
      </c>
      <c r="G4">
        <v>4.8718874228935788E-3</v>
      </c>
      <c r="H4">
        <v>0.49810794662417845</v>
      </c>
      <c r="I4">
        <v>4.9897456858204285E-3</v>
      </c>
      <c r="J4">
        <v>0.68988030467899886</v>
      </c>
      <c r="K4">
        <v>1.079187656684304E-2</v>
      </c>
      <c r="L4">
        <v>0.69532100108813932</v>
      </c>
      <c r="M4">
        <v>1.073888904432516E-2</v>
      </c>
    </row>
    <row r="5" spans="1:13" x14ac:dyDescent="0.2">
      <c r="A5" s="4" t="s">
        <v>43</v>
      </c>
      <c r="B5">
        <v>0.27730375426621162</v>
      </c>
      <c r="C5">
        <v>1.3082095839059374E-2</v>
      </c>
      <c r="D5">
        <v>0.34215017064846415</v>
      </c>
      <c r="E5">
        <v>1.386415215917728E-2</v>
      </c>
      <c r="F5">
        <v>0.39155546703843858</v>
      </c>
      <c r="G5">
        <v>4.8710059394074688E-3</v>
      </c>
      <c r="H5">
        <v>0.49840669189404502</v>
      </c>
      <c r="I5">
        <v>4.9897560769563472E-3</v>
      </c>
      <c r="J5">
        <v>0.69151251360174104</v>
      </c>
      <c r="K5">
        <v>1.0776164678037155E-2</v>
      </c>
      <c r="L5">
        <v>0.69640914036996737</v>
      </c>
      <c r="M5">
        <v>1.072807989307637E-2</v>
      </c>
    </row>
    <row r="6" spans="1:13" x14ac:dyDescent="0.2">
      <c r="A6" s="4" t="s">
        <v>44</v>
      </c>
      <c r="B6">
        <v>0.28412969283276451</v>
      </c>
      <c r="C6">
        <v>1.3179442447653887E-2</v>
      </c>
      <c r="D6">
        <v>0.30887372013651876</v>
      </c>
      <c r="E6">
        <v>1.3501770929344004E-2</v>
      </c>
      <c r="F6">
        <v>0.38916550487950607</v>
      </c>
      <c r="G6">
        <v>4.865645485910423E-3</v>
      </c>
      <c r="H6">
        <v>0.49322844054969128</v>
      </c>
      <c r="I6">
        <v>4.9893237874135141E-3</v>
      </c>
      <c r="J6">
        <v>0.69314472252448311</v>
      </c>
      <c r="K6">
        <v>1.0760295070580374E-2</v>
      </c>
      <c r="L6">
        <v>0.69042437431991299</v>
      </c>
      <c r="M6">
        <v>1.0786656752183344E-2</v>
      </c>
    </row>
    <row r="7" spans="1:13" x14ac:dyDescent="0.2">
      <c r="A7" s="4" t="s">
        <v>45</v>
      </c>
      <c r="B7">
        <v>0.28242320819112626</v>
      </c>
      <c r="C7">
        <v>1.3155456884097222E-2</v>
      </c>
      <c r="D7">
        <v>0.31058020477815701</v>
      </c>
      <c r="E7">
        <v>1.3522292098053066E-2</v>
      </c>
      <c r="F7">
        <v>0.38916550487950607</v>
      </c>
      <c r="G7">
        <v>4.865645485910423E-3</v>
      </c>
      <c r="H7">
        <v>0.49372634933280224</v>
      </c>
      <c r="I7">
        <v>4.9893886134388075E-3</v>
      </c>
      <c r="J7">
        <v>0.69314472252448311</v>
      </c>
      <c r="K7">
        <v>1.0760295070580374E-2</v>
      </c>
      <c r="L7">
        <v>0.68988030467899886</v>
      </c>
      <c r="M7">
        <v>1.0791876566843037E-2</v>
      </c>
    </row>
    <row r="8" spans="1:13" x14ac:dyDescent="0.2">
      <c r="A8" s="4" t="s">
        <v>46</v>
      </c>
      <c r="B8">
        <v>0.30716723549488056</v>
      </c>
      <c r="C8">
        <v>1.3481034054980945E-2</v>
      </c>
      <c r="D8">
        <v>0.34044368600682595</v>
      </c>
      <c r="E8">
        <v>1.384746051889298E-2</v>
      </c>
      <c r="F8">
        <v>0.4059948217486557</v>
      </c>
      <c r="G8">
        <v>4.9007988680481304E-3</v>
      </c>
      <c r="H8">
        <v>0.52399920334594707</v>
      </c>
      <c r="I8">
        <v>4.9840302505073019E-3</v>
      </c>
      <c r="J8">
        <v>0.7034820457018498</v>
      </c>
      <c r="K8">
        <v>1.0656078922661136E-2</v>
      </c>
      <c r="L8">
        <v>0.7013057671381937</v>
      </c>
      <c r="M8">
        <v>1.0678556398149229E-2</v>
      </c>
    </row>
    <row r="9" spans="1:13" x14ac:dyDescent="0.2">
      <c r="A9" s="4" t="s">
        <v>47</v>
      </c>
      <c r="B9">
        <v>0.30716723549488056</v>
      </c>
      <c r="C9">
        <v>1.3481034054980945E-2</v>
      </c>
      <c r="D9">
        <v>0.34044368600682595</v>
      </c>
      <c r="E9">
        <v>1.384746051889298E-2</v>
      </c>
      <c r="F9">
        <v>0.40549691296554469</v>
      </c>
      <c r="G9">
        <v>4.8998450871831061E-3</v>
      </c>
      <c r="H9">
        <v>0.52389962158932479</v>
      </c>
      <c r="I9">
        <v>4.9840779062160986E-3</v>
      </c>
      <c r="J9">
        <v>0.70457018498367796</v>
      </c>
      <c r="K9">
        <v>1.0644731559342464E-2</v>
      </c>
      <c r="L9">
        <v>0.70184983677910773</v>
      </c>
      <c r="M9">
        <v>1.0672964114008299E-2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E11E6-F243-46CB-966E-DBCB76DC93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Prompt_long (3)</vt:lpstr>
      <vt:lpstr>Prompt_long (2)</vt:lpstr>
      <vt:lpstr>Sheet1</vt:lpstr>
      <vt:lpstr>Column1</vt:lpstr>
      <vt:lpstr>Prompt_long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金涛 王</dc:creator>
  <cp:lastModifiedBy>金涛 王</cp:lastModifiedBy>
  <dcterms:created xsi:type="dcterms:W3CDTF">2024-12-29T13:06:05Z</dcterms:created>
  <dcterms:modified xsi:type="dcterms:W3CDTF">2024-12-29T14:28:14Z</dcterms:modified>
</cp:coreProperties>
</file>